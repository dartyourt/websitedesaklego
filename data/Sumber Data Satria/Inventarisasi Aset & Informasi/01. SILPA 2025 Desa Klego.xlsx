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19425" windowHeight="10305"/>
  </bookViews>
  <sheets>
    <sheet name="Silpa" sheetId="1" r:id="rId1"/>
    <sheet name="BA" sheetId="3" r:id="rId2"/>
    <sheet name="REG" sheetId="2" r:id="rId3"/>
  </sheets>
  <definedNames>
    <definedName name="_xlnm.Print_Area" localSheetId="1">BA!$A$1:$K$37</definedName>
    <definedName name="_xlnm.Print_Area" localSheetId="0">Silpa!$B$1:$E$33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2" i="1"/>
  <c r="E7" i="1"/>
  <c r="E26" i="1"/>
  <c r="D5" i="1"/>
  <c r="H17" i="3" l="1"/>
  <c r="H15" i="3"/>
  <c r="H18" i="3" s="1"/>
  <c r="L31" i="2"/>
  <c r="I30" i="2"/>
  <c r="L10" i="2"/>
  <c r="L32" i="2" l="1"/>
  <c r="D26" i="1" l="1"/>
</calcChain>
</file>

<file path=xl/sharedStrings.xml><?xml version="1.0" encoding="utf-8"?>
<sst xmlns="http://schemas.openxmlformats.org/spreadsheetml/2006/main" count="152" uniqueCount="79">
  <si>
    <t>Penerimaan Pembiayaan (diluar Silpa)</t>
  </si>
  <si>
    <t>Pengeluaran Pembiayaan</t>
  </si>
  <si>
    <t>Terdiri Atas :</t>
  </si>
  <si>
    <t>- Kas di Bendahara Desa</t>
  </si>
  <si>
    <t>- Rekening Kas Desa</t>
  </si>
  <si>
    <t xml:space="preserve">- Pendapatan Asli Desa </t>
  </si>
  <si>
    <t xml:space="preserve">- Alokasi Dana Desa </t>
  </si>
  <si>
    <t xml:space="preserve">- Dana Desa </t>
  </si>
  <si>
    <t xml:space="preserve">- Penerimaan Bagi Hasil Pajak Retribusi Daerah </t>
  </si>
  <si>
    <t>- Penerimaan Bantuan Keuangan Kab/Kota</t>
  </si>
  <si>
    <t>- Penerimaan Bantuan Keuangan Provinsi</t>
  </si>
  <si>
    <t>- Pendapatan Lain - lain</t>
  </si>
  <si>
    <t>SISA LEBIH PEMBIAYAAN ANGGARAN</t>
  </si>
  <si>
    <t>Kenaikan/Penurunan Kas</t>
  </si>
  <si>
    <t>Kepala Desa Klego</t>
  </si>
  <si>
    <t>GUNTUR HERU SUPRAPTO, S.Pd</t>
  </si>
  <si>
    <t>Saldo Awal Kas (Saldo Akhir 2024)</t>
  </si>
  <si>
    <t>Penerimaan 2025</t>
  </si>
  <si>
    <t>Pengeluaran 2025</t>
  </si>
  <si>
    <t>Saldo Akhir Kas 2025</t>
  </si>
  <si>
    <t>Rincian Saldo Akhir Kas 2025 per Sumber Dana :</t>
  </si>
  <si>
    <t xml:space="preserve"> Klego, 31 Desember 2025</t>
  </si>
  <si>
    <t>REGISTER PENUTUPAN KAS</t>
  </si>
  <si>
    <t>Tanggal Penutupan Kas</t>
  </si>
  <si>
    <t>:</t>
  </si>
  <si>
    <t>Nama Penutup Kas</t>
  </si>
  <si>
    <t>INTAN AYU PERMATASARI</t>
  </si>
  <si>
    <t>Tanggal Penutupan Kas yang Lalu</t>
  </si>
  <si>
    <t>Jumlah Transaksi s/d Bulan Lalu Saldo Awal</t>
  </si>
  <si>
    <t>Rp</t>
  </si>
  <si>
    <t>Jumlah Penerimaan s/d Tanggal</t>
  </si>
  <si>
    <t>Jumlah Pengeluaran s/d Tanggal</t>
  </si>
  <si>
    <t>Saldo Buku</t>
  </si>
  <si>
    <t>Saldo Buku Bank</t>
  </si>
  <si>
    <t>Saldo Kas Tunai</t>
  </si>
  <si>
    <t>Terdiri atas :</t>
  </si>
  <si>
    <t>1. Uang Kertas</t>
  </si>
  <si>
    <t>Pecahan Rp. 100.000</t>
  </si>
  <si>
    <t>=</t>
  </si>
  <si>
    <t>Lembar</t>
  </si>
  <si>
    <t>Pecahan Rp.   50.000</t>
  </si>
  <si>
    <t>Pecahan Rp.   20.000</t>
  </si>
  <si>
    <t>Pecahan Rp.   10.000</t>
  </si>
  <si>
    <t>Pecahan Rp.     5.000</t>
  </si>
  <si>
    <t>Pecahan Rp.     2.000</t>
  </si>
  <si>
    <t>Pecahan Rp.     1.000</t>
  </si>
  <si>
    <t>2. Uang Logam</t>
  </si>
  <si>
    <t>Keping</t>
  </si>
  <si>
    <t>Pecahan Rp.        500</t>
  </si>
  <si>
    <t>Pecahan Rp.        200</t>
  </si>
  <si>
    <t>Pecahan Rp.        100</t>
  </si>
  <si>
    <t>3. Kertas Berharga dan Bagian Kas yang diizinkan</t>
  </si>
  <si>
    <t>Wesel, Cek, Saldo Bank, dan sebagainya</t>
  </si>
  <si>
    <t>JUMLAH</t>
  </si>
  <si>
    <t>Perbedaan Positif/Negatif</t>
  </si>
  <si>
    <t>Penjelasan Perbedaan Baik Positif Maupun Negatif</t>
  </si>
  <si>
    <t>-</t>
  </si>
  <si>
    <t>Yang Memverifikasi</t>
  </si>
  <si>
    <t>Sekretaris Desa</t>
  </si>
  <si>
    <t xml:space="preserve">Bendahara Desa </t>
  </si>
  <si>
    <t>ARIF TRIWIYONO</t>
  </si>
  <si>
    <t>No : 145/01/I/2026</t>
  </si>
  <si>
    <t>BERITA ACARA PEMERIKSAAN KAS</t>
  </si>
  <si>
    <t xml:space="preserve">Nama </t>
  </si>
  <si>
    <t>Jabatan</t>
  </si>
  <si>
    <t>Selaku Pengguna Anggaran Kami melakukan Penutupan Kas pada :</t>
  </si>
  <si>
    <t>Nama</t>
  </si>
  <si>
    <t>Bendahara Desa Klego</t>
  </si>
  <si>
    <t>a. Uang Kertas dan Uang Logam</t>
  </si>
  <si>
    <t>b. Saldo Bank (Rekening Koran)</t>
  </si>
  <si>
    <t>c. Surat Berharga, Rekening Bank, dll</t>
  </si>
  <si>
    <t>Saldo Bank Menurut Buku Kas Umum</t>
  </si>
  <si>
    <t>Perbedaan antara saldo kas dan saldo buku</t>
  </si>
  <si>
    <t>Bendahara Pengeluaran</t>
  </si>
  <si>
    <t xml:space="preserve">Kecamatan Klego </t>
  </si>
  <si>
    <t>Desa Klego</t>
  </si>
  <si>
    <r>
      <t xml:space="preserve">Pada hari ini jum'at tanggal </t>
    </r>
    <r>
      <rPr>
        <sz val="12"/>
        <rFont val="Times New Roman"/>
        <family val="1"/>
      </rPr>
      <t>dua</t>
    </r>
    <r>
      <rPr>
        <sz val="12"/>
        <color indexed="10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bulan Januari tahun dua ribu dua puluh enam yang bertanda tangan dibawah ini :</t>
    </r>
  </si>
  <si>
    <t>Yang berdasarkan Surat Keputusan Kepala Desa Nomor : 141/02 Tahun 2026 tanggal 02 Januari 2026, Berdasarkan hasil pemeriksaan kas pada tanggal 02 Januari 2026 ditemui kenyataan sebagai berikut : Jumlah uang yang dihitung dihadapan Bendahara / Pemegang Kas adalah :</t>
  </si>
  <si>
    <t>Klego, 02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</si>
</sst>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[$-421]dd\ mmmm\ yyyy;@"/>
    <numFmt numFmtId="168" formatCode="#,##0.00;[Red]#,##0.00"/>
    <numFmt numFmtId="169" formatCode="_-[$Rp-3809]* #,##0.00_-;\-[$Rp-3809]* #,##0.00_-;_-[$Rp-3809]* &quot;-&quot;??_-;_-@_-"/>
    <numFmt numFmtId="170" formatCode="0.00;[Red]0.00"/>
    <numFmt numFmtId="171" formatCode="#,##0.00_ ;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i/>
      <u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u/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sz val="12"/>
      <color theme="0"/>
      <name val="Times New Roman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/>
    <xf numFmtId="2" fontId="2" fillId="0" borderId="0" xfId="0" applyNumberFormat="1" applyFont="1"/>
    <xf numFmtId="2" fontId="4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5" fontId="6" fillId="0" borderId="0" xfId="1" applyFont="1"/>
    <xf numFmtId="0" fontId="6" fillId="0" borderId="0" xfId="0" applyFont="1"/>
    <xf numFmtId="0" fontId="6" fillId="0" borderId="1" xfId="0" applyFont="1" applyBorder="1"/>
    <xf numFmtId="165" fontId="6" fillId="0" borderId="1" xfId="1" applyFont="1" applyBorder="1"/>
    <xf numFmtId="0" fontId="6" fillId="0" borderId="1" xfId="0" applyFont="1" applyBorder="1" applyAlignment="1">
      <alignment horizontal="right"/>
    </xf>
    <xf numFmtId="0" fontId="6" fillId="0" borderId="1" xfId="0" quotePrefix="1" applyFont="1" applyBorder="1"/>
    <xf numFmtId="165" fontId="5" fillId="2" borderId="1" xfId="1" applyFont="1" applyFill="1" applyBorder="1"/>
    <xf numFmtId="168" fontId="2" fillId="0" borderId="0" xfId="0" applyNumberFormat="1" applyFont="1" applyAlignment="1">
      <alignment vertical="center"/>
    </xf>
    <xf numFmtId="170" fontId="2" fillId="0" borderId="2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right" vertical="center"/>
    </xf>
    <xf numFmtId="171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/>
    <xf numFmtId="164" fontId="10" fillId="0" borderId="0" xfId="0" applyNumberFormat="1" applyFont="1"/>
    <xf numFmtId="169" fontId="2" fillId="0" borderId="0" xfId="0" applyNumberFormat="1" applyFont="1"/>
    <xf numFmtId="169" fontId="10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/>
    </xf>
    <xf numFmtId="165" fontId="6" fillId="0" borderId="0" xfId="1" applyFont="1" applyAlignment="1">
      <alignment horizontal="center"/>
    </xf>
    <xf numFmtId="165" fontId="5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0" borderId="2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4" fontId="2" fillId="0" borderId="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7" fontId="2" fillId="0" borderId="0" xfId="0" applyNumberFormat="1" applyFont="1" applyAlignment="1">
      <alignment horizontal="left" wrapText="1"/>
    </xf>
    <xf numFmtId="165" fontId="11" fillId="3" borderId="0" xfId="1" applyFont="1" applyFill="1" applyBorder="1"/>
    <xf numFmtId="165" fontId="11" fillId="3" borderId="1" xfId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tabSelected="1" view="pageBreakPreview" zoomScaleNormal="100" zoomScaleSheetLayoutView="100" workbookViewId="0">
      <selection activeCell="I24" sqref="I24"/>
    </sheetView>
  </sheetViews>
  <sheetFormatPr defaultColWidth="9.140625" defaultRowHeight="15.75" x14ac:dyDescent="0.25"/>
  <cols>
    <col min="1" max="1" width="9.140625" style="18"/>
    <col min="2" max="2" width="4.7109375" style="18" customWidth="1"/>
    <col min="3" max="3" width="46.28515625" style="18" customWidth="1"/>
    <col min="4" max="5" width="19.28515625" style="17" customWidth="1"/>
    <col min="6" max="6" width="9.140625" style="17"/>
    <col min="7" max="16384" width="9.140625" style="18"/>
  </cols>
  <sheetData>
    <row r="2" spans="2:5" x14ac:dyDescent="0.25">
      <c r="B2" s="36" t="s">
        <v>12</v>
      </c>
      <c r="C2" s="36"/>
      <c r="D2" s="36"/>
      <c r="E2" s="36"/>
    </row>
    <row r="4" spans="2:5" x14ac:dyDescent="0.25">
      <c r="B4" s="19" t="s">
        <v>16</v>
      </c>
      <c r="C4" s="19"/>
      <c r="D4" s="20"/>
      <c r="E4" s="20">
        <v>114396779</v>
      </c>
    </row>
    <row r="5" spans="2:5" x14ac:dyDescent="0.25">
      <c r="B5" s="19" t="s">
        <v>17</v>
      </c>
      <c r="C5" s="19"/>
      <c r="D5" s="58">
        <f>2137969811</f>
        <v>2137969811</v>
      </c>
      <c r="E5" s="20"/>
    </row>
    <row r="6" spans="2:5" x14ac:dyDescent="0.25">
      <c r="B6" s="19" t="s">
        <v>18</v>
      </c>
      <c r="C6" s="19"/>
      <c r="D6" s="57">
        <v>1902090327</v>
      </c>
      <c r="E6" s="20"/>
    </row>
    <row r="7" spans="2:5" x14ac:dyDescent="0.25">
      <c r="B7" s="19"/>
      <c r="C7" s="21" t="s">
        <v>13</v>
      </c>
      <c r="D7" s="20"/>
      <c r="E7" s="20">
        <f>D5-D6</f>
        <v>235879484</v>
      </c>
    </row>
    <row r="8" spans="2:5" x14ac:dyDescent="0.25">
      <c r="B8" s="19" t="s">
        <v>0</v>
      </c>
      <c r="C8" s="19"/>
      <c r="D8" s="20">
        <v>0</v>
      </c>
      <c r="E8" s="20"/>
    </row>
    <row r="9" spans="2:5" x14ac:dyDescent="0.25">
      <c r="B9" s="19" t="s">
        <v>1</v>
      </c>
      <c r="C9" s="19"/>
      <c r="D9" s="20">
        <v>0</v>
      </c>
      <c r="E9" s="20"/>
    </row>
    <row r="10" spans="2:5" x14ac:dyDescent="0.25">
      <c r="B10" s="19"/>
      <c r="C10" s="19"/>
      <c r="D10" s="20"/>
      <c r="E10" s="20"/>
    </row>
    <row r="11" spans="2:5" x14ac:dyDescent="0.25">
      <c r="B11" s="19"/>
      <c r="C11" s="19"/>
      <c r="D11" s="20"/>
      <c r="E11" s="20"/>
    </row>
    <row r="12" spans="2:5" x14ac:dyDescent="0.25">
      <c r="B12" s="19" t="s">
        <v>19</v>
      </c>
      <c r="C12" s="19"/>
      <c r="D12" s="20"/>
      <c r="E12" s="20">
        <f>E4+E7+D8-D9</f>
        <v>350276263</v>
      </c>
    </row>
    <row r="13" spans="2:5" x14ac:dyDescent="0.25">
      <c r="B13" s="19" t="s">
        <v>2</v>
      </c>
      <c r="C13" s="19"/>
      <c r="D13" s="20"/>
      <c r="E13" s="20"/>
    </row>
    <row r="14" spans="2:5" x14ac:dyDescent="0.25">
      <c r="B14" s="19"/>
      <c r="C14" s="22" t="s">
        <v>3</v>
      </c>
      <c r="D14" s="20">
        <v>0</v>
      </c>
      <c r="E14" s="20"/>
    </row>
    <row r="15" spans="2:5" x14ac:dyDescent="0.25">
      <c r="B15" s="19"/>
      <c r="C15" s="22" t="s">
        <v>4</v>
      </c>
      <c r="D15" s="20">
        <v>350276263</v>
      </c>
      <c r="E15" s="20">
        <f>SUM(D14:D15)</f>
        <v>350276263</v>
      </c>
    </row>
    <row r="16" spans="2:5" x14ac:dyDescent="0.25">
      <c r="B16" s="19"/>
      <c r="C16" s="19"/>
      <c r="D16" s="20"/>
      <c r="E16" s="20"/>
    </row>
    <row r="17" spans="2:5" x14ac:dyDescent="0.25">
      <c r="B17" s="19" t="s">
        <v>20</v>
      </c>
      <c r="C17" s="19"/>
      <c r="D17" s="20"/>
      <c r="E17" s="20"/>
    </row>
    <row r="18" spans="2:5" x14ac:dyDescent="0.25">
      <c r="B18" s="19"/>
      <c r="C18" s="22" t="s">
        <v>5</v>
      </c>
      <c r="D18" s="20">
        <v>2717</v>
      </c>
      <c r="E18" s="20"/>
    </row>
    <row r="19" spans="2:5" x14ac:dyDescent="0.25">
      <c r="B19" s="19"/>
      <c r="C19" s="22" t="s">
        <v>6</v>
      </c>
      <c r="D19" s="20">
        <v>98748346</v>
      </c>
      <c r="E19" s="20"/>
    </row>
    <row r="20" spans="2:5" x14ac:dyDescent="0.25">
      <c r="B20" s="19"/>
      <c r="C20" s="22" t="s">
        <v>7</v>
      </c>
      <c r="D20" s="20">
        <v>227637500</v>
      </c>
      <c r="E20" s="20"/>
    </row>
    <row r="21" spans="2:5" x14ac:dyDescent="0.25">
      <c r="B21" s="19"/>
      <c r="C21" s="22" t="s">
        <v>8</v>
      </c>
      <c r="D21" s="20">
        <v>17522083</v>
      </c>
      <c r="E21" s="20"/>
    </row>
    <row r="22" spans="2:5" x14ac:dyDescent="0.25">
      <c r="B22" s="19"/>
      <c r="C22" s="22" t="s">
        <v>9</v>
      </c>
      <c r="D22" s="20">
        <v>5005000</v>
      </c>
      <c r="E22" s="20"/>
    </row>
    <row r="23" spans="2:5" x14ac:dyDescent="0.25">
      <c r="B23" s="19"/>
      <c r="C23" s="22" t="s">
        <v>10</v>
      </c>
      <c r="D23" s="20">
        <v>210000</v>
      </c>
      <c r="E23" s="20"/>
    </row>
    <row r="24" spans="2:5" x14ac:dyDescent="0.25">
      <c r="B24" s="19"/>
      <c r="C24" s="22" t="s">
        <v>11</v>
      </c>
      <c r="D24" s="20">
        <v>1150617</v>
      </c>
      <c r="E24" s="20"/>
    </row>
    <row r="25" spans="2:5" x14ac:dyDescent="0.25">
      <c r="B25" s="19"/>
      <c r="C25" s="19"/>
      <c r="D25" s="20"/>
      <c r="E25" s="20"/>
    </row>
    <row r="26" spans="2:5" x14ac:dyDescent="0.25">
      <c r="B26" s="19"/>
      <c r="C26" s="19"/>
      <c r="D26" s="23">
        <f>SUM(D18:D25)</f>
        <v>350276263</v>
      </c>
      <c r="E26" s="23">
        <f>E12-E15</f>
        <v>0</v>
      </c>
    </row>
    <row r="28" spans="2:5" x14ac:dyDescent="0.25">
      <c r="D28" s="37" t="s">
        <v>21</v>
      </c>
      <c r="E28" s="37"/>
    </row>
    <row r="29" spans="2:5" x14ac:dyDescent="0.25">
      <c r="D29" s="37" t="s">
        <v>14</v>
      </c>
      <c r="E29" s="37"/>
    </row>
    <row r="33" spans="4:5" x14ac:dyDescent="0.25">
      <c r="D33" s="38" t="s">
        <v>15</v>
      </c>
      <c r="E33" s="38"/>
    </row>
  </sheetData>
  <mergeCells count="4">
    <mergeCell ref="B2:E2"/>
    <mergeCell ref="D28:E28"/>
    <mergeCell ref="D29:E29"/>
    <mergeCell ref="D33:E33"/>
  </mergeCells>
  <pageMargins left="0.78740157480314965" right="0.39370078740157483" top="0.74803149606299213" bottom="0.74803149606299213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7"/>
  <sheetViews>
    <sheetView view="pageBreakPreview" topLeftCell="A6" zoomScaleNormal="100" zoomScaleSheetLayoutView="100" workbookViewId="0">
      <selection activeCell="H14" sqref="H14"/>
    </sheetView>
  </sheetViews>
  <sheetFormatPr defaultColWidth="9.140625" defaultRowHeight="15.75" x14ac:dyDescent="0.25"/>
  <cols>
    <col min="1" max="1" width="1.5703125" style="1" customWidth="1"/>
    <col min="2" max="2" width="6.85546875" style="1" customWidth="1"/>
    <col min="3" max="3" width="9.140625" style="1"/>
    <col min="4" max="4" width="2" style="1" customWidth="1"/>
    <col min="5" max="5" width="23.42578125" style="1" customWidth="1"/>
    <col min="6" max="6" width="2.42578125" style="1" customWidth="1"/>
    <col min="7" max="7" width="3.42578125" style="1" customWidth="1"/>
    <col min="8" max="8" width="18.7109375" style="1" bestFit="1" customWidth="1"/>
    <col min="9" max="9" width="10.140625" style="1" bestFit="1" customWidth="1"/>
    <col min="10" max="10" width="11.42578125" style="1" bestFit="1" customWidth="1"/>
    <col min="11" max="11" width="22.140625" style="1" customWidth="1"/>
    <col min="12" max="12" width="21.42578125" style="1" customWidth="1"/>
    <col min="13" max="255" width="9.140625" style="1"/>
    <col min="256" max="256" width="1.5703125" style="1" customWidth="1"/>
    <col min="257" max="257" width="6.85546875" style="1" customWidth="1"/>
    <col min="258" max="258" width="9.140625" style="1"/>
    <col min="259" max="259" width="2" style="1" customWidth="1"/>
    <col min="260" max="260" width="23.42578125" style="1" customWidth="1"/>
    <col min="261" max="261" width="2.42578125" style="1" customWidth="1"/>
    <col min="262" max="262" width="3.42578125" style="1" customWidth="1"/>
    <col min="263" max="263" width="18.7109375" style="1" bestFit="1" customWidth="1"/>
    <col min="264" max="264" width="10.140625" style="1" bestFit="1" customWidth="1"/>
    <col min="265" max="265" width="11.42578125" style="1" bestFit="1" customWidth="1"/>
    <col min="266" max="266" width="16.5703125" style="1" customWidth="1"/>
    <col min="267" max="267" width="0.42578125" style="1" customWidth="1"/>
    <col min="268" max="268" width="1.7109375" style="1" customWidth="1"/>
    <col min="269" max="511" width="9.140625" style="1"/>
    <col min="512" max="512" width="1.5703125" style="1" customWidth="1"/>
    <col min="513" max="513" width="6.85546875" style="1" customWidth="1"/>
    <col min="514" max="514" width="9.140625" style="1"/>
    <col min="515" max="515" width="2" style="1" customWidth="1"/>
    <col min="516" max="516" width="23.42578125" style="1" customWidth="1"/>
    <col min="517" max="517" width="2.42578125" style="1" customWidth="1"/>
    <col min="518" max="518" width="3.42578125" style="1" customWidth="1"/>
    <col min="519" max="519" width="18.7109375" style="1" bestFit="1" customWidth="1"/>
    <col min="520" max="520" width="10.140625" style="1" bestFit="1" customWidth="1"/>
    <col min="521" max="521" width="11.42578125" style="1" bestFit="1" customWidth="1"/>
    <col min="522" max="522" width="16.5703125" style="1" customWidth="1"/>
    <col min="523" max="523" width="0.42578125" style="1" customWidth="1"/>
    <col min="524" max="524" width="1.7109375" style="1" customWidth="1"/>
    <col min="525" max="767" width="9.140625" style="1"/>
    <col min="768" max="768" width="1.5703125" style="1" customWidth="1"/>
    <col min="769" max="769" width="6.85546875" style="1" customWidth="1"/>
    <col min="770" max="770" width="9.140625" style="1"/>
    <col min="771" max="771" width="2" style="1" customWidth="1"/>
    <col min="772" max="772" width="23.42578125" style="1" customWidth="1"/>
    <col min="773" max="773" width="2.42578125" style="1" customWidth="1"/>
    <col min="774" max="774" width="3.42578125" style="1" customWidth="1"/>
    <col min="775" max="775" width="18.7109375" style="1" bestFit="1" customWidth="1"/>
    <col min="776" max="776" width="10.140625" style="1" bestFit="1" customWidth="1"/>
    <col min="777" max="777" width="11.42578125" style="1" bestFit="1" customWidth="1"/>
    <col min="778" max="778" width="16.5703125" style="1" customWidth="1"/>
    <col min="779" max="779" width="0.42578125" style="1" customWidth="1"/>
    <col min="780" max="780" width="1.7109375" style="1" customWidth="1"/>
    <col min="781" max="1023" width="9.140625" style="1"/>
    <col min="1024" max="1024" width="1.5703125" style="1" customWidth="1"/>
    <col min="1025" max="1025" width="6.85546875" style="1" customWidth="1"/>
    <col min="1026" max="1026" width="9.140625" style="1"/>
    <col min="1027" max="1027" width="2" style="1" customWidth="1"/>
    <col min="1028" max="1028" width="23.42578125" style="1" customWidth="1"/>
    <col min="1029" max="1029" width="2.42578125" style="1" customWidth="1"/>
    <col min="1030" max="1030" width="3.42578125" style="1" customWidth="1"/>
    <col min="1031" max="1031" width="18.7109375" style="1" bestFit="1" customWidth="1"/>
    <col min="1032" max="1032" width="10.140625" style="1" bestFit="1" customWidth="1"/>
    <col min="1033" max="1033" width="11.42578125" style="1" bestFit="1" customWidth="1"/>
    <col min="1034" max="1034" width="16.5703125" style="1" customWidth="1"/>
    <col min="1035" max="1035" width="0.42578125" style="1" customWidth="1"/>
    <col min="1036" max="1036" width="1.7109375" style="1" customWidth="1"/>
    <col min="1037" max="1279" width="9.140625" style="1"/>
    <col min="1280" max="1280" width="1.5703125" style="1" customWidth="1"/>
    <col min="1281" max="1281" width="6.85546875" style="1" customWidth="1"/>
    <col min="1282" max="1282" width="9.140625" style="1"/>
    <col min="1283" max="1283" width="2" style="1" customWidth="1"/>
    <col min="1284" max="1284" width="23.42578125" style="1" customWidth="1"/>
    <col min="1285" max="1285" width="2.42578125" style="1" customWidth="1"/>
    <col min="1286" max="1286" width="3.42578125" style="1" customWidth="1"/>
    <col min="1287" max="1287" width="18.7109375" style="1" bestFit="1" customWidth="1"/>
    <col min="1288" max="1288" width="10.140625" style="1" bestFit="1" customWidth="1"/>
    <col min="1289" max="1289" width="11.42578125" style="1" bestFit="1" customWidth="1"/>
    <col min="1290" max="1290" width="16.5703125" style="1" customWidth="1"/>
    <col min="1291" max="1291" width="0.42578125" style="1" customWidth="1"/>
    <col min="1292" max="1292" width="1.7109375" style="1" customWidth="1"/>
    <col min="1293" max="1535" width="9.140625" style="1"/>
    <col min="1536" max="1536" width="1.5703125" style="1" customWidth="1"/>
    <col min="1537" max="1537" width="6.85546875" style="1" customWidth="1"/>
    <col min="1538" max="1538" width="9.140625" style="1"/>
    <col min="1539" max="1539" width="2" style="1" customWidth="1"/>
    <col min="1540" max="1540" width="23.42578125" style="1" customWidth="1"/>
    <col min="1541" max="1541" width="2.42578125" style="1" customWidth="1"/>
    <col min="1542" max="1542" width="3.42578125" style="1" customWidth="1"/>
    <col min="1543" max="1543" width="18.7109375" style="1" bestFit="1" customWidth="1"/>
    <col min="1544" max="1544" width="10.140625" style="1" bestFit="1" customWidth="1"/>
    <col min="1545" max="1545" width="11.42578125" style="1" bestFit="1" customWidth="1"/>
    <col min="1546" max="1546" width="16.5703125" style="1" customWidth="1"/>
    <col min="1547" max="1547" width="0.42578125" style="1" customWidth="1"/>
    <col min="1548" max="1548" width="1.7109375" style="1" customWidth="1"/>
    <col min="1549" max="1791" width="9.140625" style="1"/>
    <col min="1792" max="1792" width="1.5703125" style="1" customWidth="1"/>
    <col min="1793" max="1793" width="6.85546875" style="1" customWidth="1"/>
    <col min="1794" max="1794" width="9.140625" style="1"/>
    <col min="1795" max="1795" width="2" style="1" customWidth="1"/>
    <col min="1796" max="1796" width="23.42578125" style="1" customWidth="1"/>
    <col min="1797" max="1797" width="2.42578125" style="1" customWidth="1"/>
    <col min="1798" max="1798" width="3.42578125" style="1" customWidth="1"/>
    <col min="1799" max="1799" width="18.7109375" style="1" bestFit="1" customWidth="1"/>
    <col min="1800" max="1800" width="10.140625" style="1" bestFit="1" customWidth="1"/>
    <col min="1801" max="1801" width="11.42578125" style="1" bestFit="1" customWidth="1"/>
    <col min="1802" max="1802" width="16.5703125" style="1" customWidth="1"/>
    <col min="1803" max="1803" width="0.42578125" style="1" customWidth="1"/>
    <col min="1804" max="1804" width="1.7109375" style="1" customWidth="1"/>
    <col min="1805" max="2047" width="9.140625" style="1"/>
    <col min="2048" max="2048" width="1.5703125" style="1" customWidth="1"/>
    <col min="2049" max="2049" width="6.85546875" style="1" customWidth="1"/>
    <col min="2050" max="2050" width="9.140625" style="1"/>
    <col min="2051" max="2051" width="2" style="1" customWidth="1"/>
    <col min="2052" max="2052" width="23.42578125" style="1" customWidth="1"/>
    <col min="2053" max="2053" width="2.42578125" style="1" customWidth="1"/>
    <col min="2054" max="2054" width="3.42578125" style="1" customWidth="1"/>
    <col min="2055" max="2055" width="18.7109375" style="1" bestFit="1" customWidth="1"/>
    <col min="2056" max="2056" width="10.140625" style="1" bestFit="1" customWidth="1"/>
    <col min="2057" max="2057" width="11.42578125" style="1" bestFit="1" customWidth="1"/>
    <col min="2058" max="2058" width="16.5703125" style="1" customWidth="1"/>
    <col min="2059" max="2059" width="0.42578125" style="1" customWidth="1"/>
    <col min="2060" max="2060" width="1.7109375" style="1" customWidth="1"/>
    <col min="2061" max="2303" width="9.140625" style="1"/>
    <col min="2304" max="2304" width="1.5703125" style="1" customWidth="1"/>
    <col min="2305" max="2305" width="6.85546875" style="1" customWidth="1"/>
    <col min="2306" max="2306" width="9.140625" style="1"/>
    <col min="2307" max="2307" width="2" style="1" customWidth="1"/>
    <col min="2308" max="2308" width="23.42578125" style="1" customWidth="1"/>
    <col min="2309" max="2309" width="2.42578125" style="1" customWidth="1"/>
    <col min="2310" max="2310" width="3.42578125" style="1" customWidth="1"/>
    <col min="2311" max="2311" width="18.7109375" style="1" bestFit="1" customWidth="1"/>
    <col min="2312" max="2312" width="10.140625" style="1" bestFit="1" customWidth="1"/>
    <col min="2313" max="2313" width="11.42578125" style="1" bestFit="1" customWidth="1"/>
    <col min="2314" max="2314" width="16.5703125" style="1" customWidth="1"/>
    <col min="2315" max="2315" width="0.42578125" style="1" customWidth="1"/>
    <col min="2316" max="2316" width="1.7109375" style="1" customWidth="1"/>
    <col min="2317" max="2559" width="9.140625" style="1"/>
    <col min="2560" max="2560" width="1.5703125" style="1" customWidth="1"/>
    <col min="2561" max="2561" width="6.85546875" style="1" customWidth="1"/>
    <col min="2562" max="2562" width="9.140625" style="1"/>
    <col min="2563" max="2563" width="2" style="1" customWidth="1"/>
    <col min="2564" max="2564" width="23.42578125" style="1" customWidth="1"/>
    <col min="2565" max="2565" width="2.42578125" style="1" customWidth="1"/>
    <col min="2566" max="2566" width="3.42578125" style="1" customWidth="1"/>
    <col min="2567" max="2567" width="18.7109375" style="1" bestFit="1" customWidth="1"/>
    <col min="2568" max="2568" width="10.140625" style="1" bestFit="1" customWidth="1"/>
    <col min="2569" max="2569" width="11.42578125" style="1" bestFit="1" customWidth="1"/>
    <col min="2570" max="2570" width="16.5703125" style="1" customWidth="1"/>
    <col min="2571" max="2571" width="0.42578125" style="1" customWidth="1"/>
    <col min="2572" max="2572" width="1.7109375" style="1" customWidth="1"/>
    <col min="2573" max="2815" width="9.140625" style="1"/>
    <col min="2816" max="2816" width="1.5703125" style="1" customWidth="1"/>
    <col min="2817" max="2817" width="6.85546875" style="1" customWidth="1"/>
    <col min="2818" max="2818" width="9.140625" style="1"/>
    <col min="2819" max="2819" width="2" style="1" customWidth="1"/>
    <col min="2820" max="2820" width="23.42578125" style="1" customWidth="1"/>
    <col min="2821" max="2821" width="2.42578125" style="1" customWidth="1"/>
    <col min="2822" max="2822" width="3.42578125" style="1" customWidth="1"/>
    <col min="2823" max="2823" width="18.7109375" style="1" bestFit="1" customWidth="1"/>
    <col min="2824" max="2824" width="10.140625" style="1" bestFit="1" customWidth="1"/>
    <col min="2825" max="2825" width="11.42578125" style="1" bestFit="1" customWidth="1"/>
    <col min="2826" max="2826" width="16.5703125" style="1" customWidth="1"/>
    <col min="2827" max="2827" width="0.42578125" style="1" customWidth="1"/>
    <col min="2828" max="2828" width="1.7109375" style="1" customWidth="1"/>
    <col min="2829" max="3071" width="9.140625" style="1"/>
    <col min="3072" max="3072" width="1.5703125" style="1" customWidth="1"/>
    <col min="3073" max="3073" width="6.85546875" style="1" customWidth="1"/>
    <col min="3074" max="3074" width="9.140625" style="1"/>
    <col min="3075" max="3075" width="2" style="1" customWidth="1"/>
    <col min="3076" max="3076" width="23.42578125" style="1" customWidth="1"/>
    <col min="3077" max="3077" width="2.42578125" style="1" customWidth="1"/>
    <col min="3078" max="3078" width="3.42578125" style="1" customWidth="1"/>
    <col min="3079" max="3079" width="18.7109375" style="1" bestFit="1" customWidth="1"/>
    <col min="3080" max="3080" width="10.140625" style="1" bestFit="1" customWidth="1"/>
    <col min="3081" max="3081" width="11.42578125" style="1" bestFit="1" customWidth="1"/>
    <col min="3082" max="3082" width="16.5703125" style="1" customWidth="1"/>
    <col min="3083" max="3083" width="0.42578125" style="1" customWidth="1"/>
    <col min="3084" max="3084" width="1.7109375" style="1" customWidth="1"/>
    <col min="3085" max="3327" width="9.140625" style="1"/>
    <col min="3328" max="3328" width="1.5703125" style="1" customWidth="1"/>
    <col min="3329" max="3329" width="6.85546875" style="1" customWidth="1"/>
    <col min="3330" max="3330" width="9.140625" style="1"/>
    <col min="3331" max="3331" width="2" style="1" customWidth="1"/>
    <col min="3332" max="3332" width="23.42578125" style="1" customWidth="1"/>
    <col min="3333" max="3333" width="2.42578125" style="1" customWidth="1"/>
    <col min="3334" max="3334" width="3.42578125" style="1" customWidth="1"/>
    <col min="3335" max="3335" width="18.7109375" style="1" bestFit="1" customWidth="1"/>
    <col min="3336" max="3336" width="10.140625" style="1" bestFit="1" customWidth="1"/>
    <col min="3337" max="3337" width="11.42578125" style="1" bestFit="1" customWidth="1"/>
    <col min="3338" max="3338" width="16.5703125" style="1" customWidth="1"/>
    <col min="3339" max="3339" width="0.42578125" style="1" customWidth="1"/>
    <col min="3340" max="3340" width="1.7109375" style="1" customWidth="1"/>
    <col min="3341" max="3583" width="9.140625" style="1"/>
    <col min="3584" max="3584" width="1.5703125" style="1" customWidth="1"/>
    <col min="3585" max="3585" width="6.85546875" style="1" customWidth="1"/>
    <col min="3586" max="3586" width="9.140625" style="1"/>
    <col min="3587" max="3587" width="2" style="1" customWidth="1"/>
    <col min="3588" max="3588" width="23.42578125" style="1" customWidth="1"/>
    <col min="3589" max="3589" width="2.42578125" style="1" customWidth="1"/>
    <col min="3590" max="3590" width="3.42578125" style="1" customWidth="1"/>
    <col min="3591" max="3591" width="18.7109375" style="1" bestFit="1" customWidth="1"/>
    <col min="3592" max="3592" width="10.140625" style="1" bestFit="1" customWidth="1"/>
    <col min="3593" max="3593" width="11.42578125" style="1" bestFit="1" customWidth="1"/>
    <col min="3594" max="3594" width="16.5703125" style="1" customWidth="1"/>
    <col min="3595" max="3595" width="0.42578125" style="1" customWidth="1"/>
    <col min="3596" max="3596" width="1.7109375" style="1" customWidth="1"/>
    <col min="3597" max="3839" width="9.140625" style="1"/>
    <col min="3840" max="3840" width="1.5703125" style="1" customWidth="1"/>
    <col min="3841" max="3841" width="6.85546875" style="1" customWidth="1"/>
    <col min="3842" max="3842" width="9.140625" style="1"/>
    <col min="3843" max="3843" width="2" style="1" customWidth="1"/>
    <col min="3844" max="3844" width="23.42578125" style="1" customWidth="1"/>
    <col min="3845" max="3845" width="2.42578125" style="1" customWidth="1"/>
    <col min="3846" max="3846" width="3.42578125" style="1" customWidth="1"/>
    <col min="3847" max="3847" width="18.7109375" style="1" bestFit="1" customWidth="1"/>
    <col min="3848" max="3848" width="10.140625" style="1" bestFit="1" customWidth="1"/>
    <col min="3849" max="3849" width="11.42578125" style="1" bestFit="1" customWidth="1"/>
    <col min="3850" max="3850" width="16.5703125" style="1" customWidth="1"/>
    <col min="3851" max="3851" width="0.42578125" style="1" customWidth="1"/>
    <col min="3852" max="3852" width="1.7109375" style="1" customWidth="1"/>
    <col min="3853" max="4095" width="9.140625" style="1"/>
    <col min="4096" max="4096" width="1.5703125" style="1" customWidth="1"/>
    <col min="4097" max="4097" width="6.85546875" style="1" customWidth="1"/>
    <col min="4098" max="4098" width="9.140625" style="1"/>
    <col min="4099" max="4099" width="2" style="1" customWidth="1"/>
    <col min="4100" max="4100" width="23.42578125" style="1" customWidth="1"/>
    <col min="4101" max="4101" width="2.42578125" style="1" customWidth="1"/>
    <col min="4102" max="4102" width="3.42578125" style="1" customWidth="1"/>
    <col min="4103" max="4103" width="18.7109375" style="1" bestFit="1" customWidth="1"/>
    <col min="4104" max="4104" width="10.140625" style="1" bestFit="1" customWidth="1"/>
    <col min="4105" max="4105" width="11.42578125" style="1" bestFit="1" customWidth="1"/>
    <col min="4106" max="4106" width="16.5703125" style="1" customWidth="1"/>
    <col min="4107" max="4107" width="0.42578125" style="1" customWidth="1"/>
    <col min="4108" max="4108" width="1.7109375" style="1" customWidth="1"/>
    <col min="4109" max="4351" width="9.140625" style="1"/>
    <col min="4352" max="4352" width="1.5703125" style="1" customWidth="1"/>
    <col min="4353" max="4353" width="6.85546875" style="1" customWidth="1"/>
    <col min="4354" max="4354" width="9.140625" style="1"/>
    <col min="4355" max="4355" width="2" style="1" customWidth="1"/>
    <col min="4356" max="4356" width="23.42578125" style="1" customWidth="1"/>
    <col min="4357" max="4357" width="2.42578125" style="1" customWidth="1"/>
    <col min="4358" max="4358" width="3.42578125" style="1" customWidth="1"/>
    <col min="4359" max="4359" width="18.7109375" style="1" bestFit="1" customWidth="1"/>
    <col min="4360" max="4360" width="10.140625" style="1" bestFit="1" customWidth="1"/>
    <col min="4361" max="4361" width="11.42578125" style="1" bestFit="1" customWidth="1"/>
    <col min="4362" max="4362" width="16.5703125" style="1" customWidth="1"/>
    <col min="4363" max="4363" width="0.42578125" style="1" customWidth="1"/>
    <col min="4364" max="4364" width="1.7109375" style="1" customWidth="1"/>
    <col min="4365" max="4607" width="9.140625" style="1"/>
    <col min="4608" max="4608" width="1.5703125" style="1" customWidth="1"/>
    <col min="4609" max="4609" width="6.85546875" style="1" customWidth="1"/>
    <col min="4610" max="4610" width="9.140625" style="1"/>
    <col min="4611" max="4611" width="2" style="1" customWidth="1"/>
    <col min="4612" max="4612" width="23.42578125" style="1" customWidth="1"/>
    <col min="4613" max="4613" width="2.42578125" style="1" customWidth="1"/>
    <col min="4614" max="4614" width="3.42578125" style="1" customWidth="1"/>
    <col min="4615" max="4615" width="18.7109375" style="1" bestFit="1" customWidth="1"/>
    <col min="4616" max="4616" width="10.140625" style="1" bestFit="1" customWidth="1"/>
    <col min="4617" max="4617" width="11.42578125" style="1" bestFit="1" customWidth="1"/>
    <col min="4618" max="4618" width="16.5703125" style="1" customWidth="1"/>
    <col min="4619" max="4619" width="0.42578125" style="1" customWidth="1"/>
    <col min="4620" max="4620" width="1.7109375" style="1" customWidth="1"/>
    <col min="4621" max="4863" width="9.140625" style="1"/>
    <col min="4864" max="4864" width="1.5703125" style="1" customWidth="1"/>
    <col min="4865" max="4865" width="6.85546875" style="1" customWidth="1"/>
    <col min="4866" max="4866" width="9.140625" style="1"/>
    <col min="4867" max="4867" width="2" style="1" customWidth="1"/>
    <col min="4868" max="4868" width="23.42578125" style="1" customWidth="1"/>
    <col min="4869" max="4869" width="2.42578125" style="1" customWidth="1"/>
    <col min="4870" max="4870" width="3.42578125" style="1" customWidth="1"/>
    <col min="4871" max="4871" width="18.7109375" style="1" bestFit="1" customWidth="1"/>
    <col min="4872" max="4872" width="10.140625" style="1" bestFit="1" customWidth="1"/>
    <col min="4873" max="4873" width="11.42578125" style="1" bestFit="1" customWidth="1"/>
    <col min="4874" max="4874" width="16.5703125" style="1" customWidth="1"/>
    <col min="4875" max="4875" width="0.42578125" style="1" customWidth="1"/>
    <col min="4876" max="4876" width="1.7109375" style="1" customWidth="1"/>
    <col min="4877" max="5119" width="9.140625" style="1"/>
    <col min="5120" max="5120" width="1.5703125" style="1" customWidth="1"/>
    <col min="5121" max="5121" width="6.85546875" style="1" customWidth="1"/>
    <col min="5122" max="5122" width="9.140625" style="1"/>
    <col min="5123" max="5123" width="2" style="1" customWidth="1"/>
    <col min="5124" max="5124" width="23.42578125" style="1" customWidth="1"/>
    <col min="5125" max="5125" width="2.42578125" style="1" customWidth="1"/>
    <col min="5126" max="5126" width="3.42578125" style="1" customWidth="1"/>
    <col min="5127" max="5127" width="18.7109375" style="1" bestFit="1" customWidth="1"/>
    <col min="5128" max="5128" width="10.140625" style="1" bestFit="1" customWidth="1"/>
    <col min="5129" max="5129" width="11.42578125" style="1" bestFit="1" customWidth="1"/>
    <col min="5130" max="5130" width="16.5703125" style="1" customWidth="1"/>
    <col min="5131" max="5131" width="0.42578125" style="1" customWidth="1"/>
    <col min="5132" max="5132" width="1.7109375" style="1" customWidth="1"/>
    <col min="5133" max="5375" width="9.140625" style="1"/>
    <col min="5376" max="5376" width="1.5703125" style="1" customWidth="1"/>
    <col min="5377" max="5377" width="6.85546875" style="1" customWidth="1"/>
    <col min="5378" max="5378" width="9.140625" style="1"/>
    <col min="5379" max="5379" width="2" style="1" customWidth="1"/>
    <col min="5380" max="5380" width="23.42578125" style="1" customWidth="1"/>
    <col min="5381" max="5381" width="2.42578125" style="1" customWidth="1"/>
    <col min="5382" max="5382" width="3.42578125" style="1" customWidth="1"/>
    <col min="5383" max="5383" width="18.7109375" style="1" bestFit="1" customWidth="1"/>
    <col min="5384" max="5384" width="10.140625" style="1" bestFit="1" customWidth="1"/>
    <col min="5385" max="5385" width="11.42578125" style="1" bestFit="1" customWidth="1"/>
    <col min="5386" max="5386" width="16.5703125" style="1" customWidth="1"/>
    <col min="5387" max="5387" width="0.42578125" style="1" customWidth="1"/>
    <col min="5388" max="5388" width="1.7109375" style="1" customWidth="1"/>
    <col min="5389" max="5631" width="9.140625" style="1"/>
    <col min="5632" max="5632" width="1.5703125" style="1" customWidth="1"/>
    <col min="5633" max="5633" width="6.85546875" style="1" customWidth="1"/>
    <col min="5634" max="5634" width="9.140625" style="1"/>
    <col min="5635" max="5635" width="2" style="1" customWidth="1"/>
    <col min="5636" max="5636" width="23.42578125" style="1" customWidth="1"/>
    <col min="5637" max="5637" width="2.42578125" style="1" customWidth="1"/>
    <col min="5638" max="5638" width="3.42578125" style="1" customWidth="1"/>
    <col min="5639" max="5639" width="18.7109375" style="1" bestFit="1" customWidth="1"/>
    <col min="5640" max="5640" width="10.140625" style="1" bestFit="1" customWidth="1"/>
    <col min="5641" max="5641" width="11.42578125" style="1" bestFit="1" customWidth="1"/>
    <col min="5642" max="5642" width="16.5703125" style="1" customWidth="1"/>
    <col min="5643" max="5643" width="0.42578125" style="1" customWidth="1"/>
    <col min="5644" max="5644" width="1.7109375" style="1" customWidth="1"/>
    <col min="5645" max="5887" width="9.140625" style="1"/>
    <col min="5888" max="5888" width="1.5703125" style="1" customWidth="1"/>
    <col min="5889" max="5889" width="6.85546875" style="1" customWidth="1"/>
    <col min="5890" max="5890" width="9.140625" style="1"/>
    <col min="5891" max="5891" width="2" style="1" customWidth="1"/>
    <col min="5892" max="5892" width="23.42578125" style="1" customWidth="1"/>
    <col min="5893" max="5893" width="2.42578125" style="1" customWidth="1"/>
    <col min="5894" max="5894" width="3.42578125" style="1" customWidth="1"/>
    <col min="5895" max="5895" width="18.7109375" style="1" bestFit="1" customWidth="1"/>
    <col min="5896" max="5896" width="10.140625" style="1" bestFit="1" customWidth="1"/>
    <col min="5897" max="5897" width="11.42578125" style="1" bestFit="1" customWidth="1"/>
    <col min="5898" max="5898" width="16.5703125" style="1" customWidth="1"/>
    <col min="5899" max="5899" width="0.42578125" style="1" customWidth="1"/>
    <col min="5900" max="5900" width="1.7109375" style="1" customWidth="1"/>
    <col min="5901" max="6143" width="9.140625" style="1"/>
    <col min="6144" max="6144" width="1.5703125" style="1" customWidth="1"/>
    <col min="6145" max="6145" width="6.85546875" style="1" customWidth="1"/>
    <col min="6146" max="6146" width="9.140625" style="1"/>
    <col min="6147" max="6147" width="2" style="1" customWidth="1"/>
    <col min="6148" max="6148" width="23.42578125" style="1" customWidth="1"/>
    <col min="6149" max="6149" width="2.42578125" style="1" customWidth="1"/>
    <col min="6150" max="6150" width="3.42578125" style="1" customWidth="1"/>
    <col min="6151" max="6151" width="18.7109375" style="1" bestFit="1" customWidth="1"/>
    <col min="6152" max="6152" width="10.140625" style="1" bestFit="1" customWidth="1"/>
    <col min="6153" max="6153" width="11.42578125" style="1" bestFit="1" customWidth="1"/>
    <col min="6154" max="6154" width="16.5703125" style="1" customWidth="1"/>
    <col min="6155" max="6155" width="0.42578125" style="1" customWidth="1"/>
    <col min="6156" max="6156" width="1.7109375" style="1" customWidth="1"/>
    <col min="6157" max="6399" width="9.140625" style="1"/>
    <col min="6400" max="6400" width="1.5703125" style="1" customWidth="1"/>
    <col min="6401" max="6401" width="6.85546875" style="1" customWidth="1"/>
    <col min="6402" max="6402" width="9.140625" style="1"/>
    <col min="6403" max="6403" width="2" style="1" customWidth="1"/>
    <col min="6404" max="6404" width="23.42578125" style="1" customWidth="1"/>
    <col min="6405" max="6405" width="2.42578125" style="1" customWidth="1"/>
    <col min="6406" max="6406" width="3.42578125" style="1" customWidth="1"/>
    <col min="6407" max="6407" width="18.7109375" style="1" bestFit="1" customWidth="1"/>
    <col min="6408" max="6408" width="10.140625" style="1" bestFit="1" customWidth="1"/>
    <col min="6409" max="6409" width="11.42578125" style="1" bestFit="1" customWidth="1"/>
    <col min="6410" max="6410" width="16.5703125" style="1" customWidth="1"/>
    <col min="6411" max="6411" width="0.42578125" style="1" customWidth="1"/>
    <col min="6412" max="6412" width="1.7109375" style="1" customWidth="1"/>
    <col min="6413" max="6655" width="9.140625" style="1"/>
    <col min="6656" max="6656" width="1.5703125" style="1" customWidth="1"/>
    <col min="6657" max="6657" width="6.85546875" style="1" customWidth="1"/>
    <col min="6658" max="6658" width="9.140625" style="1"/>
    <col min="6659" max="6659" width="2" style="1" customWidth="1"/>
    <col min="6660" max="6660" width="23.42578125" style="1" customWidth="1"/>
    <col min="6661" max="6661" width="2.42578125" style="1" customWidth="1"/>
    <col min="6662" max="6662" width="3.42578125" style="1" customWidth="1"/>
    <col min="6663" max="6663" width="18.7109375" style="1" bestFit="1" customWidth="1"/>
    <col min="6664" max="6664" width="10.140625" style="1" bestFit="1" customWidth="1"/>
    <col min="6665" max="6665" width="11.42578125" style="1" bestFit="1" customWidth="1"/>
    <col min="6666" max="6666" width="16.5703125" style="1" customWidth="1"/>
    <col min="6667" max="6667" width="0.42578125" style="1" customWidth="1"/>
    <col min="6668" max="6668" width="1.7109375" style="1" customWidth="1"/>
    <col min="6669" max="6911" width="9.140625" style="1"/>
    <col min="6912" max="6912" width="1.5703125" style="1" customWidth="1"/>
    <col min="6913" max="6913" width="6.85546875" style="1" customWidth="1"/>
    <col min="6914" max="6914" width="9.140625" style="1"/>
    <col min="6915" max="6915" width="2" style="1" customWidth="1"/>
    <col min="6916" max="6916" width="23.42578125" style="1" customWidth="1"/>
    <col min="6917" max="6917" width="2.42578125" style="1" customWidth="1"/>
    <col min="6918" max="6918" width="3.42578125" style="1" customWidth="1"/>
    <col min="6919" max="6919" width="18.7109375" style="1" bestFit="1" customWidth="1"/>
    <col min="6920" max="6920" width="10.140625" style="1" bestFit="1" customWidth="1"/>
    <col min="6921" max="6921" width="11.42578125" style="1" bestFit="1" customWidth="1"/>
    <col min="6922" max="6922" width="16.5703125" style="1" customWidth="1"/>
    <col min="6923" max="6923" width="0.42578125" style="1" customWidth="1"/>
    <col min="6924" max="6924" width="1.7109375" style="1" customWidth="1"/>
    <col min="6925" max="7167" width="9.140625" style="1"/>
    <col min="7168" max="7168" width="1.5703125" style="1" customWidth="1"/>
    <col min="7169" max="7169" width="6.85546875" style="1" customWidth="1"/>
    <col min="7170" max="7170" width="9.140625" style="1"/>
    <col min="7171" max="7171" width="2" style="1" customWidth="1"/>
    <col min="7172" max="7172" width="23.42578125" style="1" customWidth="1"/>
    <col min="7173" max="7173" width="2.42578125" style="1" customWidth="1"/>
    <col min="7174" max="7174" width="3.42578125" style="1" customWidth="1"/>
    <col min="7175" max="7175" width="18.7109375" style="1" bestFit="1" customWidth="1"/>
    <col min="7176" max="7176" width="10.140625" style="1" bestFit="1" customWidth="1"/>
    <col min="7177" max="7177" width="11.42578125" style="1" bestFit="1" customWidth="1"/>
    <col min="7178" max="7178" width="16.5703125" style="1" customWidth="1"/>
    <col min="7179" max="7179" width="0.42578125" style="1" customWidth="1"/>
    <col min="7180" max="7180" width="1.7109375" style="1" customWidth="1"/>
    <col min="7181" max="7423" width="9.140625" style="1"/>
    <col min="7424" max="7424" width="1.5703125" style="1" customWidth="1"/>
    <col min="7425" max="7425" width="6.85546875" style="1" customWidth="1"/>
    <col min="7426" max="7426" width="9.140625" style="1"/>
    <col min="7427" max="7427" width="2" style="1" customWidth="1"/>
    <col min="7428" max="7428" width="23.42578125" style="1" customWidth="1"/>
    <col min="7429" max="7429" width="2.42578125" style="1" customWidth="1"/>
    <col min="7430" max="7430" width="3.42578125" style="1" customWidth="1"/>
    <col min="7431" max="7431" width="18.7109375" style="1" bestFit="1" customWidth="1"/>
    <col min="7432" max="7432" width="10.140625" style="1" bestFit="1" customWidth="1"/>
    <col min="7433" max="7433" width="11.42578125" style="1" bestFit="1" customWidth="1"/>
    <col min="7434" max="7434" width="16.5703125" style="1" customWidth="1"/>
    <col min="7435" max="7435" width="0.42578125" style="1" customWidth="1"/>
    <col min="7436" max="7436" width="1.7109375" style="1" customWidth="1"/>
    <col min="7437" max="7679" width="9.140625" style="1"/>
    <col min="7680" max="7680" width="1.5703125" style="1" customWidth="1"/>
    <col min="7681" max="7681" width="6.85546875" style="1" customWidth="1"/>
    <col min="7682" max="7682" width="9.140625" style="1"/>
    <col min="7683" max="7683" width="2" style="1" customWidth="1"/>
    <col min="7684" max="7684" width="23.42578125" style="1" customWidth="1"/>
    <col min="7685" max="7685" width="2.42578125" style="1" customWidth="1"/>
    <col min="7686" max="7686" width="3.42578125" style="1" customWidth="1"/>
    <col min="7687" max="7687" width="18.7109375" style="1" bestFit="1" customWidth="1"/>
    <col min="7688" max="7688" width="10.140625" style="1" bestFit="1" customWidth="1"/>
    <col min="7689" max="7689" width="11.42578125" style="1" bestFit="1" customWidth="1"/>
    <col min="7690" max="7690" width="16.5703125" style="1" customWidth="1"/>
    <col min="7691" max="7691" width="0.42578125" style="1" customWidth="1"/>
    <col min="7692" max="7692" width="1.7109375" style="1" customWidth="1"/>
    <col min="7693" max="7935" width="9.140625" style="1"/>
    <col min="7936" max="7936" width="1.5703125" style="1" customWidth="1"/>
    <col min="7937" max="7937" width="6.85546875" style="1" customWidth="1"/>
    <col min="7938" max="7938" width="9.140625" style="1"/>
    <col min="7939" max="7939" width="2" style="1" customWidth="1"/>
    <col min="7940" max="7940" width="23.42578125" style="1" customWidth="1"/>
    <col min="7941" max="7941" width="2.42578125" style="1" customWidth="1"/>
    <col min="7942" max="7942" width="3.42578125" style="1" customWidth="1"/>
    <col min="7943" max="7943" width="18.7109375" style="1" bestFit="1" customWidth="1"/>
    <col min="7944" max="7944" width="10.140625" style="1" bestFit="1" customWidth="1"/>
    <col min="7945" max="7945" width="11.42578125" style="1" bestFit="1" customWidth="1"/>
    <col min="7946" max="7946" width="16.5703125" style="1" customWidth="1"/>
    <col min="7947" max="7947" width="0.42578125" style="1" customWidth="1"/>
    <col min="7948" max="7948" width="1.7109375" style="1" customWidth="1"/>
    <col min="7949" max="8191" width="9.140625" style="1"/>
    <col min="8192" max="8192" width="1.5703125" style="1" customWidth="1"/>
    <col min="8193" max="8193" width="6.85546875" style="1" customWidth="1"/>
    <col min="8194" max="8194" width="9.140625" style="1"/>
    <col min="8195" max="8195" width="2" style="1" customWidth="1"/>
    <col min="8196" max="8196" width="23.42578125" style="1" customWidth="1"/>
    <col min="8197" max="8197" width="2.42578125" style="1" customWidth="1"/>
    <col min="8198" max="8198" width="3.42578125" style="1" customWidth="1"/>
    <col min="8199" max="8199" width="18.7109375" style="1" bestFit="1" customWidth="1"/>
    <col min="8200" max="8200" width="10.140625" style="1" bestFit="1" customWidth="1"/>
    <col min="8201" max="8201" width="11.42578125" style="1" bestFit="1" customWidth="1"/>
    <col min="8202" max="8202" width="16.5703125" style="1" customWidth="1"/>
    <col min="8203" max="8203" width="0.42578125" style="1" customWidth="1"/>
    <col min="8204" max="8204" width="1.7109375" style="1" customWidth="1"/>
    <col min="8205" max="8447" width="9.140625" style="1"/>
    <col min="8448" max="8448" width="1.5703125" style="1" customWidth="1"/>
    <col min="8449" max="8449" width="6.85546875" style="1" customWidth="1"/>
    <col min="8450" max="8450" width="9.140625" style="1"/>
    <col min="8451" max="8451" width="2" style="1" customWidth="1"/>
    <col min="8452" max="8452" width="23.42578125" style="1" customWidth="1"/>
    <col min="8453" max="8453" width="2.42578125" style="1" customWidth="1"/>
    <col min="8454" max="8454" width="3.42578125" style="1" customWidth="1"/>
    <col min="8455" max="8455" width="18.7109375" style="1" bestFit="1" customWidth="1"/>
    <col min="8456" max="8456" width="10.140625" style="1" bestFit="1" customWidth="1"/>
    <col min="8457" max="8457" width="11.42578125" style="1" bestFit="1" customWidth="1"/>
    <col min="8458" max="8458" width="16.5703125" style="1" customWidth="1"/>
    <col min="8459" max="8459" width="0.42578125" style="1" customWidth="1"/>
    <col min="8460" max="8460" width="1.7109375" style="1" customWidth="1"/>
    <col min="8461" max="8703" width="9.140625" style="1"/>
    <col min="8704" max="8704" width="1.5703125" style="1" customWidth="1"/>
    <col min="8705" max="8705" width="6.85546875" style="1" customWidth="1"/>
    <col min="8706" max="8706" width="9.140625" style="1"/>
    <col min="8707" max="8707" width="2" style="1" customWidth="1"/>
    <col min="8708" max="8708" width="23.42578125" style="1" customWidth="1"/>
    <col min="8709" max="8709" width="2.42578125" style="1" customWidth="1"/>
    <col min="8710" max="8710" width="3.42578125" style="1" customWidth="1"/>
    <col min="8711" max="8711" width="18.7109375" style="1" bestFit="1" customWidth="1"/>
    <col min="8712" max="8712" width="10.140625" style="1" bestFit="1" customWidth="1"/>
    <col min="8713" max="8713" width="11.42578125" style="1" bestFit="1" customWidth="1"/>
    <col min="8714" max="8714" width="16.5703125" style="1" customWidth="1"/>
    <col min="8715" max="8715" width="0.42578125" style="1" customWidth="1"/>
    <col min="8716" max="8716" width="1.7109375" style="1" customWidth="1"/>
    <col min="8717" max="8959" width="9.140625" style="1"/>
    <col min="8960" max="8960" width="1.5703125" style="1" customWidth="1"/>
    <col min="8961" max="8961" width="6.85546875" style="1" customWidth="1"/>
    <col min="8962" max="8962" width="9.140625" style="1"/>
    <col min="8963" max="8963" width="2" style="1" customWidth="1"/>
    <col min="8964" max="8964" width="23.42578125" style="1" customWidth="1"/>
    <col min="8965" max="8965" width="2.42578125" style="1" customWidth="1"/>
    <col min="8966" max="8966" width="3.42578125" style="1" customWidth="1"/>
    <col min="8967" max="8967" width="18.7109375" style="1" bestFit="1" customWidth="1"/>
    <col min="8968" max="8968" width="10.140625" style="1" bestFit="1" customWidth="1"/>
    <col min="8969" max="8969" width="11.42578125" style="1" bestFit="1" customWidth="1"/>
    <col min="8970" max="8970" width="16.5703125" style="1" customWidth="1"/>
    <col min="8971" max="8971" width="0.42578125" style="1" customWidth="1"/>
    <col min="8972" max="8972" width="1.7109375" style="1" customWidth="1"/>
    <col min="8973" max="9215" width="9.140625" style="1"/>
    <col min="9216" max="9216" width="1.5703125" style="1" customWidth="1"/>
    <col min="9217" max="9217" width="6.85546875" style="1" customWidth="1"/>
    <col min="9218" max="9218" width="9.140625" style="1"/>
    <col min="9219" max="9219" width="2" style="1" customWidth="1"/>
    <col min="9220" max="9220" width="23.42578125" style="1" customWidth="1"/>
    <col min="9221" max="9221" width="2.42578125" style="1" customWidth="1"/>
    <col min="9222" max="9222" width="3.42578125" style="1" customWidth="1"/>
    <col min="9223" max="9223" width="18.7109375" style="1" bestFit="1" customWidth="1"/>
    <col min="9224" max="9224" width="10.140625" style="1" bestFit="1" customWidth="1"/>
    <col min="9225" max="9225" width="11.42578125" style="1" bestFit="1" customWidth="1"/>
    <col min="9226" max="9226" width="16.5703125" style="1" customWidth="1"/>
    <col min="9227" max="9227" width="0.42578125" style="1" customWidth="1"/>
    <col min="9228" max="9228" width="1.7109375" style="1" customWidth="1"/>
    <col min="9229" max="9471" width="9.140625" style="1"/>
    <col min="9472" max="9472" width="1.5703125" style="1" customWidth="1"/>
    <col min="9473" max="9473" width="6.85546875" style="1" customWidth="1"/>
    <col min="9474" max="9474" width="9.140625" style="1"/>
    <col min="9475" max="9475" width="2" style="1" customWidth="1"/>
    <col min="9476" max="9476" width="23.42578125" style="1" customWidth="1"/>
    <col min="9477" max="9477" width="2.42578125" style="1" customWidth="1"/>
    <col min="9478" max="9478" width="3.42578125" style="1" customWidth="1"/>
    <col min="9479" max="9479" width="18.7109375" style="1" bestFit="1" customWidth="1"/>
    <col min="9480" max="9480" width="10.140625" style="1" bestFit="1" customWidth="1"/>
    <col min="9481" max="9481" width="11.42578125" style="1" bestFit="1" customWidth="1"/>
    <col min="9482" max="9482" width="16.5703125" style="1" customWidth="1"/>
    <col min="9483" max="9483" width="0.42578125" style="1" customWidth="1"/>
    <col min="9484" max="9484" width="1.7109375" style="1" customWidth="1"/>
    <col min="9485" max="9727" width="9.140625" style="1"/>
    <col min="9728" max="9728" width="1.5703125" style="1" customWidth="1"/>
    <col min="9729" max="9729" width="6.85546875" style="1" customWidth="1"/>
    <col min="9730" max="9730" width="9.140625" style="1"/>
    <col min="9731" max="9731" width="2" style="1" customWidth="1"/>
    <col min="9732" max="9732" width="23.42578125" style="1" customWidth="1"/>
    <col min="9733" max="9733" width="2.42578125" style="1" customWidth="1"/>
    <col min="9734" max="9734" width="3.42578125" style="1" customWidth="1"/>
    <col min="9735" max="9735" width="18.7109375" style="1" bestFit="1" customWidth="1"/>
    <col min="9736" max="9736" width="10.140625" style="1" bestFit="1" customWidth="1"/>
    <col min="9737" max="9737" width="11.42578125" style="1" bestFit="1" customWidth="1"/>
    <col min="9738" max="9738" width="16.5703125" style="1" customWidth="1"/>
    <col min="9739" max="9739" width="0.42578125" style="1" customWidth="1"/>
    <col min="9740" max="9740" width="1.7109375" style="1" customWidth="1"/>
    <col min="9741" max="9983" width="9.140625" style="1"/>
    <col min="9984" max="9984" width="1.5703125" style="1" customWidth="1"/>
    <col min="9985" max="9985" width="6.85546875" style="1" customWidth="1"/>
    <col min="9986" max="9986" width="9.140625" style="1"/>
    <col min="9987" max="9987" width="2" style="1" customWidth="1"/>
    <col min="9988" max="9988" width="23.42578125" style="1" customWidth="1"/>
    <col min="9989" max="9989" width="2.42578125" style="1" customWidth="1"/>
    <col min="9990" max="9990" width="3.42578125" style="1" customWidth="1"/>
    <col min="9991" max="9991" width="18.7109375" style="1" bestFit="1" customWidth="1"/>
    <col min="9992" max="9992" width="10.140625" style="1" bestFit="1" customWidth="1"/>
    <col min="9993" max="9993" width="11.42578125" style="1" bestFit="1" customWidth="1"/>
    <col min="9994" max="9994" width="16.5703125" style="1" customWidth="1"/>
    <col min="9995" max="9995" width="0.42578125" style="1" customWidth="1"/>
    <col min="9996" max="9996" width="1.7109375" style="1" customWidth="1"/>
    <col min="9997" max="10239" width="9.140625" style="1"/>
    <col min="10240" max="10240" width="1.5703125" style="1" customWidth="1"/>
    <col min="10241" max="10241" width="6.85546875" style="1" customWidth="1"/>
    <col min="10242" max="10242" width="9.140625" style="1"/>
    <col min="10243" max="10243" width="2" style="1" customWidth="1"/>
    <col min="10244" max="10244" width="23.42578125" style="1" customWidth="1"/>
    <col min="10245" max="10245" width="2.42578125" style="1" customWidth="1"/>
    <col min="10246" max="10246" width="3.42578125" style="1" customWidth="1"/>
    <col min="10247" max="10247" width="18.7109375" style="1" bestFit="1" customWidth="1"/>
    <col min="10248" max="10248" width="10.140625" style="1" bestFit="1" customWidth="1"/>
    <col min="10249" max="10249" width="11.42578125" style="1" bestFit="1" customWidth="1"/>
    <col min="10250" max="10250" width="16.5703125" style="1" customWidth="1"/>
    <col min="10251" max="10251" width="0.42578125" style="1" customWidth="1"/>
    <col min="10252" max="10252" width="1.7109375" style="1" customWidth="1"/>
    <col min="10253" max="10495" width="9.140625" style="1"/>
    <col min="10496" max="10496" width="1.5703125" style="1" customWidth="1"/>
    <col min="10497" max="10497" width="6.85546875" style="1" customWidth="1"/>
    <col min="10498" max="10498" width="9.140625" style="1"/>
    <col min="10499" max="10499" width="2" style="1" customWidth="1"/>
    <col min="10500" max="10500" width="23.42578125" style="1" customWidth="1"/>
    <col min="10501" max="10501" width="2.42578125" style="1" customWidth="1"/>
    <col min="10502" max="10502" width="3.42578125" style="1" customWidth="1"/>
    <col min="10503" max="10503" width="18.7109375" style="1" bestFit="1" customWidth="1"/>
    <col min="10504" max="10504" width="10.140625" style="1" bestFit="1" customWidth="1"/>
    <col min="10505" max="10505" width="11.42578125" style="1" bestFit="1" customWidth="1"/>
    <col min="10506" max="10506" width="16.5703125" style="1" customWidth="1"/>
    <col min="10507" max="10507" width="0.42578125" style="1" customWidth="1"/>
    <col min="10508" max="10508" width="1.7109375" style="1" customWidth="1"/>
    <col min="10509" max="10751" width="9.140625" style="1"/>
    <col min="10752" max="10752" width="1.5703125" style="1" customWidth="1"/>
    <col min="10753" max="10753" width="6.85546875" style="1" customWidth="1"/>
    <col min="10754" max="10754" width="9.140625" style="1"/>
    <col min="10755" max="10755" width="2" style="1" customWidth="1"/>
    <col min="10756" max="10756" width="23.42578125" style="1" customWidth="1"/>
    <col min="10757" max="10757" width="2.42578125" style="1" customWidth="1"/>
    <col min="10758" max="10758" width="3.42578125" style="1" customWidth="1"/>
    <col min="10759" max="10759" width="18.7109375" style="1" bestFit="1" customWidth="1"/>
    <col min="10760" max="10760" width="10.140625" style="1" bestFit="1" customWidth="1"/>
    <col min="10761" max="10761" width="11.42578125" style="1" bestFit="1" customWidth="1"/>
    <col min="10762" max="10762" width="16.5703125" style="1" customWidth="1"/>
    <col min="10763" max="10763" width="0.42578125" style="1" customWidth="1"/>
    <col min="10764" max="10764" width="1.7109375" style="1" customWidth="1"/>
    <col min="10765" max="11007" width="9.140625" style="1"/>
    <col min="11008" max="11008" width="1.5703125" style="1" customWidth="1"/>
    <col min="11009" max="11009" width="6.85546875" style="1" customWidth="1"/>
    <col min="11010" max="11010" width="9.140625" style="1"/>
    <col min="11011" max="11011" width="2" style="1" customWidth="1"/>
    <col min="11012" max="11012" width="23.42578125" style="1" customWidth="1"/>
    <col min="11013" max="11013" width="2.42578125" style="1" customWidth="1"/>
    <col min="11014" max="11014" width="3.42578125" style="1" customWidth="1"/>
    <col min="11015" max="11015" width="18.7109375" style="1" bestFit="1" customWidth="1"/>
    <col min="11016" max="11016" width="10.140625" style="1" bestFit="1" customWidth="1"/>
    <col min="11017" max="11017" width="11.42578125" style="1" bestFit="1" customWidth="1"/>
    <col min="11018" max="11018" width="16.5703125" style="1" customWidth="1"/>
    <col min="11019" max="11019" width="0.42578125" style="1" customWidth="1"/>
    <col min="11020" max="11020" width="1.7109375" style="1" customWidth="1"/>
    <col min="11021" max="11263" width="9.140625" style="1"/>
    <col min="11264" max="11264" width="1.5703125" style="1" customWidth="1"/>
    <col min="11265" max="11265" width="6.85546875" style="1" customWidth="1"/>
    <col min="11266" max="11266" width="9.140625" style="1"/>
    <col min="11267" max="11267" width="2" style="1" customWidth="1"/>
    <col min="11268" max="11268" width="23.42578125" style="1" customWidth="1"/>
    <col min="11269" max="11269" width="2.42578125" style="1" customWidth="1"/>
    <col min="11270" max="11270" width="3.42578125" style="1" customWidth="1"/>
    <col min="11271" max="11271" width="18.7109375" style="1" bestFit="1" customWidth="1"/>
    <col min="11272" max="11272" width="10.140625" style="1" bestFit="1" customWidth="1"/>
    <col min="11273" max="11273" width="11.42578125" style="1" bestFit="1" customWidth="1"/>
    <col min="11274" max="11274" width="16.5703125" style="1" customWidth="1"/>
    <col min="11275" max="11275" width="0.42578125" style="1" customWidth="1"/>
    <col min="11276" max="11276" width="1.7109375" style="1" customWidth="1"/>
    <col min="11277" max="11519" width="9.140625" style="1"/>
    <col min="11520" max="11520" width="1.5703125" style="1" customWidth="1"/>
    <col min="11521" max="11521" width="6.85546875" style="1" customWidth="1"/>
    <col min="11522" max="11522" width="9.140625" style="1"/>
    <col min="11523" max="11523" width="2" style="1" customWidth="1"/>
    <col min="11524" max="11524" width="23.42578125" style="1" customWidth="1"/>
    <col min="11525" max="11525" width="2.42578125" style="1" customWidth="1"/>
    <col min="11526" max="11526" width="3.42578125" style="1" customWidth="1"/>
    <col min="11527" max="11527" width="18.7109375" style="1" bestFit="1" customWidth="1"/>
    <col min="11528" max="11528" width="10.140625" style="1" bestFit="1" customWidth="1"/>
    <col min="11529" max="11529" width="11.42578125" style="1" bestFit="1" customWidth="1"/>
    <col min="11530" max="11530" width="16.5703125" style="1" customWidth="1"/>
    <col min="11531" max="11531" width="0.42578125" style="1" customWidth="1"/>
    <col min="11532" max="11532" width="1.7109375" style="1" customWidth="1"/>
    <col min="11533" max="11775" width="9.140625" style="1"/>
    <col min="11776" max="11776" width="1.5703125" style="1" customWidth="1"/>
    <col min="11777" max="11777" width="6.85546875" style="1" customWidth="1"/>
    <col min="11778" max="11778" width="9.140625" style="1"/>
    <col min="11779" max="11779" width="2" style="1" customWidth="1"/>
    <col min="11780" max="11780" width="23.42578125" style="1" customWidth="1"/>
    <col min="11781" max="11781" width="2.42578125" style="1" customWidth="1"/>
    <col min="11782" max="11782" width="3.42578125" style="1" customWidth="1"/>
    <col min="11783" max="11783" width="18.7109375" style="1" bestFit="1" customWidth="1"/>
    <col min="11784" max="11784" width="10.140625" style="1" bestFit="1" customWidth="1"/>
    <col min="11785" max="11785" width="11.42578125" style="1" bestFit="1" customWidth="1"/>
    <col min="11786" max="11786" width="16.5703125" style="1" customWidth="1"/>
    <col min="11787" max="11787" width="0.42578125" style="1" customWidth="1"/>
    <col min="11788" max="11788" width="1.7109375" style="1" customWidth="1"/>
    <col min="11789" max="12031" width="9.140625" style="1"/>
    <col min="12032" max="12032" width="1.5703125" style="1" customWidth="1"/>
    <col min="12033" max="12033" width="6.85546875" style="1" customWidth="1"/>
    <col min="12034" max="12034" width="9.140625" style="1"/>
    <col min="12035" max="12035" width="2" style="1" customWidth="1"/>
    <col min="12036" max="12036" width="23.42578125" style="1" customWidth="1"/>
    <col min="12037" max="12037" width="2.42578125" style="1" customWidth="1"/>
    <col min="12038" max="12038" width="3.42578125" style="1" customWidth="1"/>
    <col min="12039" max="12039" width="18.7109375" style="1" bestFit="1" customWidth="1"/>
    <col min="12040" max="12040" width="10.140625" style="1" bestFit="1" customWidth="1"/>
    <col min="12041" max="12041" width="11.42578125" style="1" bestFit="1" customWidth="1"/>
    <col min="12042" max="12042" width="16.5703125" style="1" customWidth="1"/>
    <col min="12043" max="12043" width="0.42578125" style="1" customWidth="1"/>
    <col min="12044" max="12044" width="1.7109375" style="1" customWidth="1"/>
    <col min="12045" max="12287" width="9.140625" style="1"/>
    <col min="12288" max="12288" width="1.5703125" style="1" customWidth="1"/>
    <col min="12289" max="12289" width="6.85546875" style="1" customWidth="1"/>
    <col min="12290" max="12290" width="9.140625" style="1"/>
    <col min="12291" max="12291" width="2" style="1" customWidth="1"/>
    <col min="12292" max="12292" width="23.42578125" style="1" customWidth="1"/>
    <col min="12293" max="12293" width="2.42578125" style="1" customWidth="1"/>
    <col min="12294" max="12294" width="3.42578125" style="1" customWidth="1"/>
    <col min="12295" max="12295" width="18.7109375" style="1" bestFit="1" customWidth="1"/>
    <col min="12296" max="12296" width="10.140625" style="1" bestFit="1" customWidth="1"/>
    <col min="12297" max="12297" width="11.42578125" style="1" bestFit="1" customWidth="1"/>
    <col min="12298" max="12298" width="16.5703125" style="1" customWidth="1"/>
    <col min="12299" max="12299" width="0.42578125" style="1" customWidth="1"/>
    <col min="12300" max="12300" width="1.7109375" style="1" customWidth="1"/>
    <col min="12301" max="12543" width="9.140625" style="1"/>
    <col min="12544" max="12544" width="1.5703125" style="1" customWidth="1"/>
    <col min="12545" max="12545" width="6.85546875" style="1" customWidth="1"/>
    <col min="12546" max="12546" width="9.140625" style="1"/>
    <col min="12547" max="12547" width="2" style="1" customWidth="1"/>
    <col min="12548" max="12548" width="23.42578125" style="1" customWidth="1"/>
    <col min="12549" max="12549" width="2.42578125" style="1" customWidth="1"/>
    <col min="12550" max="12550" width="3.42578125" style="1" customWidth="1"/>
    <col min="12551" max="12551" width="18.7109375" style="1" bestFit="1" customWidth="1"/>
    <col min="12552" max="12552" width="10.140625" style="1" bestFit="1" customWidth="1"/>
    <col min="12553" max="12553" width="11.42578125" style="1" bestFit="1" customWidth="1"/>
    <col min="12554" max="12554" width="16.5703125" style="1" customWidth="1"/>
    <col min="12555" max="12555" width="0.42578125" style="1" customWidth="1"/>
    <col min="12556" max="12556" width="1.7109375" style="1" customWidth="1"/>
    <col min="12557" max="12799" width="9.140625" style="1"/>
    <col min="12800" max="12800" width="1.5703125" style="1" customWidth="1"/>
    <col min="12801" max="12801" width="6.85546875" style="1" customWidth="1"/>
    <col min="12802" max="12802" width="9.140625" style="1"/>
    <col min="12803" max="12803" width="2" style="1" customWidth="1"/>
    <col min="12804" max="12804" width="23.42578125" style="1" customWidth="1"/>
    <col min="12805" max="12805" width="2.42578125" style="1" customWidth="1"/>
    <col min="12806" max="12806" width="3.42578125" style="1" customWidth="1"/>
    <col min="12807" max="12807" width="18.7109375" style="1" bestFit="1" customWidth="1"/>
    <col min="12808" max="12808" width="10.140625" style="1" bestFit="1" customWidth="1"/>
    <col min="12809" max="12809" width="11.42578125" style="1" bestFit="1" customWidth="1"/>
    <col min="12810" max="12810" width="16.5703125" style="1" customWidth="1"/>
    <col min="12811" max="12811" width="0.42578125" style="1" customWidth="1"/>
    <col min="12812" max="12812" width="1.7109375" style="1" customWidth="1"/>
    <col min="12813" max="13055" width="9.140625" style="1"/>
    <col min="13056" max="13056" width="1.5703125" style="1" customWidth="1"/>
    <col min="13057" max="13057" width="6.85546875" style="1" customWidth="1"/>
    <col min="13058" max="13058" width="9.140625" style="1"/>
    <col min="13059" max="13059" width="2" style="1" customWidth="1"/>
    <col min="13060" max="13060" width="23.42578125" style="1" customWidth="1"/>
    <col min="13061" max="13061" width="2.42578125" style="1" customWidth="1"/>
    <col min="13062" max="13062" width="3.42578125" style="1" customWidth="1"/>
    <col min="13063" max="13063" width="18.7109375" style="1" bestFit="1" customWidth="1"/>
    <col min="13064" max="13064" width="10.140625" style="1" bestFit="1" customWidth="1"/>
    <col min="13065" max="13065" width="11.42578125" style="1" bestFit="1" customWidth="1"/>
    <col min="13066" max="13066" width="16.5703125" style="1" customWidth="1"/>
    <col min="13067" max="13067" width="0.42578125" style="1" customWidth="1"/>
    <col min="13068" max="13068" width="1.7109375" style="1" customWidth="1"/>
    <col min="13069" max="13311" width="9.140625" style="1"/>
    <col min="13312" max="13312" width="1.5703125" style="1" customWidth="1"/>
    <col min="13313" max="13313" width="6.85546875" style="1" customWidth="1"/>
    <col min="13314" max="13314" width="9.140625" style="1"/>
    <col min="13315" max="13315" width="2" style="1" customWidth="1"/>
    <col min="13316" max="13316" width="23.42578125" style="1" customWidth="1"/>
    <col min="13317" max="13317" width="2.42578125" style="1" customWidth="1"/>
    <col min="13318" max="13318" width="3.42578125" style="1" customWidth="1"/>
    <col min="13319" max="13319" width="18.7109375" style="1" bestFit="1" customWidth="1"/>
    <col min="13320" max="13320" width="10.140625" style="1" bestFit="1" customWidth="1"/>
    <col min="13321" max="13321" width="11.42578125" style="1" bestFit="1" customWidth="1"/>
    <col min="13322" max="13322" width="16.5703125" style="1" customWidth="1"/>
    <col min="13323" max="13323" width="0.42578125" style="1" customWidth="1"/>
    <col min="13324" max="13324" width="1.7109375" style="1" customWidth="1"/>
    <col min="13325" max="13567" width="9.140625" style="1"/>
    <col min="13568" max="13568" width="1.5703125" style="1" customWidth="1"/>
    <col min="13569" max="13569" width="6.85546875" style="1" customWidth="1"/>
    <col min="13570" max="13570" width="9.140625" style="1"/>
    <col min="13571" max="13571" width="2" style="1" customWidth="1"/>
    <col min="13572" max="13572" width="23.42578125" style="1" customWidth="1"/>
    <col min="13573" max="13573" width="2.42578125" style="1" customWidth="1"/>
    <col min="13574" max="13574" width="3.42578125" style="1" customWidth="1"/>
    <col min="13575" max="13575" width="18.7109375" style="1" bestFit="1" customWidth="1"/>
    <col min="13576" max="13576" width="10.140625" style="1" bestFit="1" customWidth="1"/>
    <col min="13577" max="13577" width="11.42578125" style="1" bestFit="1" customWidth="1"/>
    <col min="13578" max="13578" width="16.5703125" style="1" customWidth="1"/>
    <col min="13579" max="13579" width="0.42578125" style="1" customWidth="1"/>
    <col min="13580" max="13580" width="1.7109375" style="1" customWidth="1"/>
    <col min="13581" max="13823" width="9.140625" style="1"/>
    <col min="13824" max="13824" width="1.5703125" style="1" customWidth="1"/>
    <col min="13825" max="13825" width="6.85546875" style="1" customWidth="1"/>
    <col min="13826" max="13826" width="9.140625" style="1"/>
    <col min="13827" max="13827" width="2" style="1" customWidth="1"/>
    <col min="13828" max="13828" width="23.42578125" style="1" customWidth="1"/>
    <col min="13829" max="13829" width="2.42578125" style="1" customWidth="1"/>
    <col min="13830" max="13830" width="3.42578125" style="1" customWidth="1"/>
    <col min="13831" max="13831" width="18.7109375" style="1" bestFit="1" customWidth="1"/>
    <col min="13832" max="13832" width="10.140625" style="1" bestFit="1" customWidth="1"/>
    <col min="13833" max="13833" width="11.42578125" style="1" bestFit="1" customWidth="1"/>
    <col min="13834" max="13834" width="16.5703125" style="1" customWidth="1"/>
    <col min="13835" max="13835" width="0.42578125" style="1" customWidth="1"/>
    <col min="13836" max="13836" width="1.7109375" style="1" customWidth="1"/>
    <col min="13837" max="14079" width="9.140625" style="1"/>
    <col min="14080" max="14080" width="1.5703125" style="1" customWidth="1"/>
    <col min="14081" max="14081" width="6.85546875" style="1" customWidth="1"/>
    <col min="14082" max="14082" width="9.140625" style="1"/>
    <col min="14083" max="14083" width="2" style="1" customWidth="1"/>
    <col min="14084" max="14084" width="23.42578125" style="1" customWidth="1"/>
    <col min="14085" max="14085" width="2.42578125" style="1" customWidth="1"/>
    <col min="14086" max="14086" width="3.42578125" style="1" customWidth="1"/>
    <col min="14087" max="14087" width="18.7109375" style="1" bestFit="1" customWidth="1"/>
    <col min="14088" max="14088" width="10.140625" style="1" bestFit="1" customWidth="1"/>
    <col min="14089" max="14089" width="11.42578125" style="1" bestFit="1" customWidth="1"/>
    <col min="14090" max="14090" width="16.5703125" style="1" customWidth="1"/>
    <col min="14091" max="14091" width="0.42578125" style="1" customWidth="1"/>
    <col min="14092" max="14092" width="1.7109375" style="1" customWidth="1"/>
    <col min="14093" max="14335" width="9.140625" style="1"/>
    <col min="14336" max="14336" width="1.5703125" style="1" customWidth="1"/>
    <col min="14337" max="14337" width="6.85546875" style="1" customWidth="1"/>
    <col min="14338" max="14338" width="9.140625" style="1"/>
    <col min="14339" max="14339" width="2" style="1" customWidth="1"/>
    <col min="14340" max="14340" width="23.42578125" style="1" customWidth="1"/>
    <col min="14341" max="14341" width="2.42578125" style="1" customWidth="1"/>
    <col min="14342" max="14342" width="3.42578125" style="1" customWidth="1"/>
    <col min="14343" max="14343" width="18.7109375" style="1" bestFit="1" customWidth="1"/>
    <col min="14344" max="14344" width="10.140625" style="1" bestFit="1" customWidth="1"/>
    <col min="14345" max="14345" width="11.42578125" style="1" bestFit="1" customWidth="1"/>
    <col min="14346" max="14346" width="16.5703125" style="1" customWidth="1"/>
    <col min="14347" max="14347" width="0.42578125" style="1" customWidth="1"/>
    <col min="14348" max="14348" width="1.7109375" style="1" customWidth="1"/>
    <col min="14349" max="14591" width="9.140625" style="1"/>
    <col min="14592" max="14592" width="1.5703125" style="1" customWidth="1"/>
    <col min="14593" max="14593" width="6.85546875" style="1" customWidth="1"/>
    <col min="14594" max="14594" width="9.140625" style="1"/>
    <col min="14595" max="14595" width="2" style="1" customWidth="1"/>
    <col min="14596" max="14596" width="23.42578125" style="1" customWidth="1"/>
    <col min="14597" max="14597" width="2.42578125" style="1" customWidth="1"/>
    <col min="14598" max="14598" width="3.42578125" style="1" customWidth="1"/>
    <col min="14599" max="14599" width="18.7109375" style="1" bestFit="1" customWidth="1"/>
    <col min="14600" max="14600" width="10.140625" style="1" bestFit="1" customWidth="1"/>
    <col min="14601" max="14601" width="11.42578125" style="1" bestFit="1" customWidth="1"/>
    <col min="14602" max="14602" width="16.5703125" style="1" customWidth="1"/>
    <col min="14603" max="14603" width="0.42578125" style="1" customWidth="1"/>
    <col min="14604" max="14604" width="1.7109375" style="1" customWidth="1"/>
    <col min="14605" max="14847" width="9.140625" style="1"/>
    <col min="14848" max="14848" width="1.5703125" style="1" customWidth="1"/>
    <col min="14849" max="14849" width="6.85546875" style="1" customWidth="1"/>
    <col min="14850" max="14850" width="9.140625" style="1"/>
    <col min="14851" max="14851" width="2" style="1" customWidth="1"/>
    <col min="14852" max="14852" width="23.42578125" style="1" customWidth="1"/>
    <col min="14853" max="14853" width="2.42578125" style="1" customWidth="1"/>
    <col min="14854" max="14854" width="3.42578125" style="1" customWidth="1"/>
    <col min="14855" max="14855" width="18.7109375" style="1" bestFit="1" customWidth="1"/>
    <col min="14856" max="14856" width="10.140625" style="1" bestFit="1" customWidth="1"/>
    <col min="14857" max="14857" width="11.42578125" style="1" bestFit="1" customWidth="1"/>
    <col min="14858" max="14858" width="16.5703125" style="1" customWidth="1"/>
    <col min="14859" max="14859" width="0.42578125" style="1" customWidth="1"/>
    <col min="14860" max="14860" width="1.7109375" style="1" customWidth="1"/>
    <col min="14861" max="15103" width="9.140625" style="1"/>
    <col min="15104" max="15104" width="1.5703125" style="1" customWidth="1"/>
    <col min="15105" max="15105" width="6.85546875" style="1" customWidth="1"/>
    <col min="15106" max="15106" width="9.140625" style="1"/>
    <col min="15107" max="15107" width="2" style="1" customWidth="1"/>
    <col min="15108" max="15108" width="23.42578125" style="1" customWidth="1"/>
    <col min="15109" max="15109" width="2.42578125" style="1" customWidth="1"/>
    <col min="15110" max="15110" width="3.42578125" style="1" customWidth="1"/>
    <col min="15111" max="15111" width="18.7109375" style="1" bestFit="1" customWidth="1"/>
    <col min="15112" max="15112" width="10.140625" style="1" bestFit="1" customWidth="1"/>
    <col min="15113" max="15113" width="11.42578125" style="1" bestFit="1" customWidth="1"/>
    <col min="15114" max="15114" width="16.5703125" style="1" customWidth="1"/>
    <col min="15115" max="15115" width="0.42578125" style="1" customWidth="1"/>
    <col min="15116" max="15116" width="1.7109375" style="1" customWidth="1"/>
    <col min="15117" max="15359" width="9.140625" style="1"/>
    <col min="15360" max="15360" width="1.5703125" style="1" customWidth="1"/>
    <col min="15361" max="15361" width="6.85546875" style="1" customWidth="1"/>
    <col min="15362" max="15362" width="9.140625" style="1"/>
    <col min="15363" max="15363" width="2" style="1" customWidth="1"/>
    <col min="15364" max="15364" width="23.42578125" style="1" customWidth="1"/>
    <col min="15365" max="15365" width="2.42578125" style="1" customWidth="1"/>
    <col min="15366" max="15366" width="3.42578125" style="1" customWidth="1"/>
    <col min="15367" max="15367" width="18.7109375" style="1" bestFit="1" customWidth="1"/>
    <col min="15368" max="15368" width="10.140625" style="1" bestFit="1" customWidth="1"/>
    <col min="15369" max="15369" width="11.42578125" style="1" bestFit="1" customWidth="1"/>
    <col min="15370" max="15370" width="16.5703125" style="1" customWidth="1"/>
    <col min="15371" max="15371" width="0.42578125" style="1" customWidth="1"/>
    <col min="15372" max="15372" width="1.7109375" style="1" customWidth="1"/>
    <col min="15373" max="15615" width="9.140625" style="1"/>
    <col min="15616" max="15616" width="1.5703125" style="1" customWidth="1"/>
    <col min="15617" max="15617" width="6.85546875" style="1" customWidth="1"/>
    <col min="15618" max="15618" width="9.140625" style="1"/>
    <col min="15619" max="15619" width="2" style="1" customWidth="1"/>
    <col min="15620" max="15620" width="23.42578125" style="1" customWidth="1"/>
    <col min="15621" max="15621" width="2.42578125" style="1" customWidth="1"/>
    <col min="15622" max="15622" width="3.42578125" style="1" customWidth="1"/>
    <col min="15623" max="15623" width="18.7109375" style="1" bestFit="1" customWidth="1"/>
    <col min="15624" max="15624" width="10.140625" style="1" bestFit="1" customWidth="1"/>
    <col min="15625" max="15625" width="11.42578125" style="1" bestFit="1" customWidth="1"/>
    <col min="15626" max="15626" width="16.5703125" style="1" customWidth="1"/>
    <col min="15627" max="15627" width="0.42578125" style="1" customWidth="1"/>
    <col min="15628" max="15628" width="1.7109375" style="1" customWidth="1"/>
    <col min="15629" max="15871" width="9.140625" style="1"/>
    <col min="15872" max="15872" width="1.5703125" style="1" customWidth="1"/>
    <col min="15873" max="15873" width="6.85546875" style="1" customWidth="1"/>
    <col min="15874" max="15874" width="9.140625" style="1"/>
    <col min="15875" max="15875" width="2" style="1" customWidth="1"/>
    <col min="15876" max="15876" width="23.42578125" style="1" customWidth="1"/>
    <col min="15877" max="15877" width="2.42578125" style="1" customWidth="1"/>
    <col min="15878" max="15878" width="3.42578125" style="1" customWidth="1"/>
    <col min="15879" max="15879" width="18.7109375" style="1" bestFit="1" customWidth="1"/>
    <col min="15880" max="15880" width="10.140625" style="1" bestFit="1" customWidth="1"/>
    <col min="15881" max="15881" width="11.42578125" style="1" bestFit="1" customWidth="1"/>
    <col min="15882" max="15882" width="16.5703125" style="1" customWidth="1"/>
    <col min="15883" max="15883" width="0.42578125" style="1" customWidth="1"/>
    <col min="15884" max="15884" width="1.7109375" style="1" customWidth="1"/>
    <col min="15885" max="16127" width="9.140625" style="1"/>
    <col min="16128" max="16128" width="1.5703125" style="1" customWidth="1"/>
    <col min="16129" max="16129" width="6.85546875" style="1" customWidth="1"/>
    <col min="16130" max="16130" width="9.140625" style="1"/>
    <col min="16131" max="16131" width="2" style="1" customWidth="1"/>
    <col min="16132" max="16132" width="23.42578125" style="1" customWidth="1"/>
    <col min="16133" max="16133" width="2.42578125" style="1" customWidth="1"/>
    <col min="16134" max="16134" width="3.42578125" style="1" customWidth="1"/>
    <col min="16135" max="16135" width="18.7109375" style="1" bestFit="1" customWidth="1"/>
    <col min="16136" max="16136" width="10.140625" style="1" bestFit="1" customWidth="1"/>
    <col min="16137" max="16137" width="11.42578125" style="1" bestFit="1" customWidth="1"/>
    <col min="16138" max="16138" width="16.5703125" style="1" customWidth="1"/>
    <col min="16139" max="16139" width="0.42578125" style="1" customWidth="1"/>
    <col min="16140" max="16140" width="1.7109375" style="1" customWidth="1"/>
    <col min="16141" max="16384" width="9.140625" style="1"/>
  </cols>
  <sheetData>
    <row r="1" spans="2:11" ht="31.5" customHeight="1" x14ac:dyDescent="0.25">
      <c r="B1" s="46" t="s">
        <v>62</v>
      </c>
      <c r="C1" s="46"/>
      <c r="D1" s="46"/>
      <c r="E1" s="46"/>
      <c r="F1" s="46"/>
      <c r="G1" s="46"/>
      <c r="H1" s="46"/>
      <c r="I1" s="46"/>
      <c r="J1" s="46"/>
      <c r="K1" s="46"/>
    </row>
    <row r="3" spans="2:11" ht="30" customHeight="1" x14ac:dyDescent="0.25">
      <c r="B3" s="41" t="s">
        <v>76</v>
      </c>
      <c r="C3" s="41"/>
      <c r="D3" s="41"/>
      <c r="E3" s="41"/>
      <c r="F3" s="41"/>
      <c r="G3" s="41"/>
      <c r="H3" s="41"/>
      <c r="I3" s="41"/>
      <c r="J3" s="41"/>
      <c r="K3" s="41"/>
    </row>
    <row r="4" spans="2:11" x14ac:dyDescent="0.25"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2:11" x14ac:dyDescent="0.25">
      <c r="B5" s="42" t="s">
        <v>63</v>
      </c>
      <c r="C5" s="42"/>
      <c r="D5" s="1" t="s">
        <v>24</v>
      </c>
      <c r="E5" s="43" t="s">
        <v>15</v>
      </c>
      <c r="F5" s="43"/>
      <c r="G5" s="43"/>
      <c r="H5" s="43"/>
      <c r="I5" s="43"/>
      <c r="J5" s="43"/>
      <c r="K5" s="43"/>
    </row>
    <row r="6" spans="2:11" x14ac:dyDescent="0.25">
      <c r="B6" s="42" t="s">
        <v>64</v>
      </c>
      <c r="C6" s="42"/>
      <c r="D6" s="1" t="s">
        <v>24</v>
      </c>
      <c r="E6" s="42" t="s">
        <v>14</v>
      </c>
      <c r="F6" s="42"/>
      <c r="G6" s="42"/>
      <c r="H6" s="42"/>
      <c r="I6" s="42"/>
      <c r="J6" s="42"/>
      <c r="K6" s="42"/>
    </row>
    <row r="7" spans="2:11" x14ac:dyDescent="0.25">
      <c r="B7" s="42" t="s">
        <v>65</v>
      </c>
      <c r="C7" s="42"/>
      <c r="D7" s="42"/>
      <c r="E7" s="42"/>
      <c r="F7" s="42"/>
      <c r="G7" s="42"/>
      <c r="H7" s="42"/>
      <c r="I7" s="42"/>
      <c r="J7" s="42"/>
      <c r="K7" s="42"/>
    </row>
    <row r="8" spans="2:11" ht="22.5" customHeight="1" x14ac:dyDescent="0.25">
      <c r="B8" s="42" t="s">
        <v>66</v>
      </c>
      <c r="C8" s="42"/>
      <c r="D8" s="1" t="s">
        <v>24</v>
      </c>
      <c r="E8" s="43" t="s">
        <v>26</v>
      </c>
      <c r="F8" s="43"/>
      <c r="G8" s="43"/>
      <c r="H8" s="43"/>
      <c r="I8" s="43"/>
      <c r="J8" s="43"/>
      <c r="K8" s="43"/>
    </row>
    <row r="9" spans="2:11" x14ac:dyDescent="0.25">
      <c r="B9" s="42" t="s">
        <v>64</v>
      </c>
      <c r="C9" s="42"/>
      <c r="D9" s="1" t="s">
        <v>24</v>
      </c>
      <c r="E9" s="42" t="s">
        <v>67</v>
      </c>
      <c r="F9" s="42"/>
      <c r="G9" s="42"/>
      <c r="H9" s="42"/>
      <c r="I9" s="42"/>
      <c r="J9" s="42"/>
      <c r="K9" s="42"/>
    </row>
    <row r="10" spans="2:11" ht="75" customHeight="1" x14ac:dyDescent="0.25">
      <c r="B10" s="41" t="s">
        <v>77</v>
      </c>
      <c r="C10" s="41"/>
      <c r="D10" s="41"/>
      <c r="E10" s="41"/>
      <c r="F10" s="41"/>
      <c r="G10" s="41"/>
      <c r="H10" s="41"/>
      <c r="I10" s="41"/>
      <c r="J10" s="41"/>
      <c r="K10" s="41"/>
    </row>
    <row r="11" spans="2:11" x14ac:dyDescent="0.25"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2:11" x14ac:dyDescent="0.25">
      <c r="B12" s="44" t="s">
        <v>68</v>
      </c>
      <c r="C12" s="44"/>
      <c r="D12" s="44"/>
      <c r="E12" s="44"/>
      <c r="F12" s="1" t="s">
        <v>24</v>
      </c>
      <c r="G12" s="10" t="s">
        <v>29</v>
      </c>
      <c r="H12" s="24">
        <v>0</v>
      </c>
      <c r="I12" s="30"/>
      <c r="J12" s="30"/>
      <c r="K12" s="31"/>
    </row>
    <row r="13" spans="2:11" x14ac:dyDescent="0.25">
      <c r="B13" s="44" t="s">
        <v>69</v>
      </c>
      <c r="C13" s="44"/>
      <c r="D13" s="44"/>
      <c r="E13" s="44"/>
      <c r="F13" s="1" t="s">
        <v>24</v>
      </c>
      <c r="G13" s="10" t="s">
        <v>29</v>
      </c>
      <c r="H13" s="24">
        <v>350276263</v>
      </c>
      <c r="I13" s="32"/>
      <c r="J13" s="32"/>
      <c r="K13" s="33"/>
    </row>
    <row r="14" spans="2:11" ht="16.5" thickBot="1" x14ac:dyDescent="0.3">
      <c r="B14" s="44" t="s">
        <v>70</v>
      </c>
      <c r="C14" s="44"/>
      <c r="D14" s="44"/>
      <c r="E14" s="44"/>
      <c r="F14" s="1" t="s">
        <v>24</v>
      </c>
      <c r="G14" s="10" t="s">
        <v>29</v>
      </c>
      <c r="H14" s="25">
        <v>0</v>
      </c>
      <c r="I14" s="32"/>
      <c r="J14" s="32"/>
      <c r="K14" s="33"/>
    </row>
    <row r="15" spans="2:11" x14ac:dyDescent="0.25">
      <c r="B15" s="45" t="s">
        <v>53</v>
      </c>
      <c r="C15" s="45"/>
      <c r="D15" s="45"/>
      <c r="E15" s="45"/>
      <c r="F15" s="1" t="s">
        <v>24</v>
      </c>
      <c r="G15" s="10" t="s">
        <v>29</v>
      </c>
      <c r="H15" s="26">
        <f>SUM(H12:H14)</f>
        <v>350276263</v>
      </c>
      <c r="I15" s="32"/>
      <c r="J15" s="32"/>
      <c r="K15" s="33"/>
    </row>
    <row r="16" spans="2:11" x14ac:dyDescent="0.25">
      <c r="B16" s="8"/>
      <c r="C16" s="8"/>
      <c r="D16" s="8"/>
      <c r="E16" s="8"/>
      <c r="G16" s="10"/>
      <c r="H16" s="27"/>
      <c r="I16" s="32"/>
      <c r="J16" s="32"/>
      <c r="K16" s="33"/>
    </row>
    <row r="17" spans="2:11" ht="22.5" customHeight="1" x14ac:dyDescent="0.25">
      <c r="B17" s="44" t="s">
        <v>71</v>
      </c>
      <c r="C17" s="44"/>
      <c r="D17" s="44"/>
      <c r="E17" s="44"/>
      <c r="F17" s="1" t="s">
        <v>24</v>
      </c>
      <c r="G17" s="10" t="s">
        <v>29</v>
      </c>
      <c r="H17" s="24">
        <f>H13</f>
        <v>350276263</v>
      </c>
      <c r="I17" s="32"/>
      <c r="J17" s="32"/>
      <c r="K17" s="33"/>
    </row>
    <row r="18" spans="2:11" x14ac:dyDescent="0.25">
      <c r="B18" s="41" t="s">
        <v>72</v>
      </c>
      <c r="C18" s="41"/>
      <c r="D18" s="41"/>
      <c r="E18" s="41"/>
      <c r="F18" s="1" t="s">
        <v>24</v>
      </c>
      <c r="G18" s="10" t="s">
        <v>29</v>
      </c>
      <c r="H18" s="27">
        <f>H15-H17</f>
        <v>0</v>
      </c>
      <c r="I18" s="32"/>
      <c r="J18" s="32"/>
      <c r="K18" s="33"/>
    </row>
    <row r="19" spans="2:11" x14ac:dyDescent="0.25">
      <c r="B19" s="2"/>
      <c r="C19" s="2"/>
      <c r="D19" s="2"/>
      <c r="E19" s="2"/>
      <c r="H19" s="34"/>
      <c r="I19" s="32"/>
      <c r="J19" s="32"/>
      <c r="K19" s="33"/>
    </row>
    <row r="20" spans="2:11" x14ac:dyDescent="0.25">
      <c r="B20" s="11"/>
      <c r="C20" s="2"/>
      <c r="D20" s="2"/>
      <c r="E20" s="2"/>
      <c r="H20" s="34"/>
      <c r="I20" s="32"/>
      <c r="J20" s="32"/>
      <c r="K20" s="33"/>
    </row>
    <row r="21" spans="2:11" x14ac:dyDescent="0.25">
      <c r="C21" s="2"/>
      <c r="D21" s="2"/>
      <c r="E21" s="2"/>
      <c r="H21" s="34"/>
      <c r="I21" s="32"/>
      <c r="J21" s="32"/>
      <c r="K21" s="33"/>
    </row>
    <row r="22" spans="2:11" x14ac:dyDescent="0.25">
      <c r="C22" s="2"/>
      <c r="D22" s="2"/>
      <c r="E22" s="2"/>
      <c r="H22" s="34"/>
      <c r="I22" s="32"/>
      <c r="J22" s="32"/>
      <c r="K22" s="33"/>
    </row>
    <row r="24" spans="2:11" x14ac:dyDescent="0.25">
      <c r="B24" s="39" t="s">
        <v>14</v>
      </c>
      <c r="C24" s="39"/>
      <c r="D24" s="39"/>
      <c r="E24" s="39"/>
      <c r="I24" s="39" t="s">
        <v>73</v>
      </c>
      <c r="J24" s="39"/>
      <c r="K24" s="39"/>
    </row>
    <row r="25" spans="2:11" x14ac:dyDescent="0.25">
      <c r="B25" s="39" t="s">
        <v>74</v>
      </c>
      <c r="C25" s="39"/>
      <c r="D25" s="39"/>
      <c r="E25" s="39"/>
      <c r="I25" s="39" t="s">
        <v>75</v>
      </c>
      <c r="J25" s="39"/>
      <c r="K25" s="39"/>
    </row>
    <row r="28" spans="2:11" x14ac:dyDescent="0.25">
      <c r="B28" s="35"/>
      <c r="C28" s="35"/>
      <c r="D28" s="35"/>
      <c r="E28" s="35"/>
    </row>
    <row r="29" spans="2:11" x14ac:dyDescent="0.25">
      <c r="B29" s="40" t="s">
        <v>15</v>
      </c>
      <c r="C29" s="40"/>
      <c r="D29" s="40"/>
      <c r="E29" s="40"/>
      <c r="I29" s="40" t="s">
        <v>26</v>
      </c>
      <c r="J29" s="40"/>
      <c r="K29" s="40"/>
    </row>
    <row r="31" spans="2:11" x14ac:dyDescent="0.25">
      <c r="B31" s="39"/>
      <c r="C31" s="39"/>
      <c r="D31" s="39"/>
      <c r="E31" s="39"/>
      <c r="J31" s="39"/>
      <c r="K31" s="39"/>
    </row>
    <row r="32" spans="2:11" x14ac:dyDescent="0.25">
      <c r="B32" s="39"/>
      <c r="C32" s="39"/>
      <c r="D32" s="39"/>
      <c r="E32" s="39"/>
      <c r="J32" s="39"/>
      <c r="K32" s="39"/>
    </row>
    <row r="36" spans="2:11" x14ac:dyDescent="0.25">
      <c r="B36" s="35"/>
      <c r="C36" s="35"/>
      <c r="D36" s="35"/>
      <c r="E36" s="35"/>
    </row>
    <row r="37" spans="2:11" x14ac:dyDescent="0.25">
      <c r="B37" s="40"/>
      <c r="C37" s="40"/>
      <c r="D37" s="40"/>
      <c r="E37" s="40"/>
      <c r="J37" s="40"/>
      <c r="K37" s="39"/>
    </row>
  </sheetData>
  <mergeCells count="30">
    <mergeCell ref="B1:K1"/>
    <mergeCell ref="B3:K3"/>
    <mergeCell ref="B5:C5"/>
    <mergeCell ref="E5:K5"/>
    <mergeCell ref="B6:C6"/>
    <mergeCell ref="E6:K6"/>
    <mergeCell ref="B18:E18"/>
    <mergeCell ref="B7:K7"/>
    <mergeCell ref="B8:C8"/>
    <mergeCell ref="E8:K8"/>
    <mergeCell ref="B9:C9"/>
    <mergeCell ref="E9:K9"/>
    <mergeCell ref="B10:K10"/>
    <mergeCell ref="B12:E12"/>
    <mergeCell ref="B13:E13"/>
    <mergeCell ref="B14:E14"/>
    <mergeCell ref="B15:E15"/>
    <mergeCell ref="B17:E17"/>
    <mergeCell ref="B24:E24"/>
    <mergeCell ref="I24:K24"/>
    <mergeCell ref="B25:E25"/>
    <mergeCell ref="I25:K25"/>
    <mergeCell ref="B29:E29"/>
    <mergeCell ref="I29:K29"/>
    <mergeCell ref="B31:E31"/>
    <mergeCell ref="J31:K31"/>
    <mergeCell ref="B32:E32"/>
    <mergeCell ref="J32:K32"/>
    <mergeCell ref="B37:E37"/>
    <mergeCell ref="J37:K37"/>
  </mergeCells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2"/>
  <sheetViews>
    <sheetView view="pageBreakPreview" topLeftCell="B1" zoomScaleNormal="100" zoomScaleSheetLayoutView="100" workbookViewId="0">
      <selection activeCell="R11" sqref="R11"/>
    </sheetView>
  </sheetViews>
  <sheetFormatPr defaultColWidth="9.140625" defaultRowHeight="15.75" x14ac:dyDescent="0.25"/>
  <cols>
    <col min="1" max="1" width="2" style="1" customWidth="1"/>
    <col min="2" max="3" width="9.140625" style="1"/>
    <col min="4" max="4" width="12" style="1" customWidth="1"/>
    <col min="5" max="5" width="9.140625" style="1"/>
    <col min="6" max="6" width="2.85546875" style="1" customWidth="1"/>
    <col min="7" max="7" width="16.140625" style="1" customWidth="1"/>
    <col min="8" max="8" width="4.42578125" style="2" customWidth="1"/>
    <col min="9" max="10" width="9.140625" style="1"/>
    <col min="11" max="11" width="4.140625" style="1" customWidth="1"/>
    <col min="12" max="13" width="9.140625" style="3"/>
    <col min="14" max="14" width="1.85546875" style="1" customWidth="1"/>
    <col min="15" max="256" width="9.140625" style="1"/>
    <col min="257" max="257" width="2" style="1" customWidth="1"/>
    <col min="258" max="259" width="9.140625" style="1"/>
    <col min="260" max="260" width="12" style="1" customWidth="1"/>
    <col min="261" max="261" width="9.140625" style="1"/>
    <col min="262" max="262" width="2.85546875" style="1" customWidth="1"/>
    <col min="263" max="263" width="16.140625" style="1" customWidth="1"/>
    <col min="264" max="264" width="4.42578125" style="1" customWidth="1"/>
    <col min="265" max="266" width="9.140625" style="1"/>
    <col min="267" max="267" width="4.140625" style="1" customWidth="1"/>
    <col min="268" max="269" width="9.140625" style="1"/>
    <col min="270" max="270" width="1.85546875" style="1" customWidth="1"/>
    <col min="271" max="512" width="9.140625" style="1"/>
    <col min="513" max="513" width="2" style="1" customWidth="1"/>
    <col min="514" max="515" width="9.140625" style="1"/>
    <col min="516" max="516" width="12" style="1" customWidth="1"/>
    <col min="517" max="517" width="9.140625" style="1"/>
    <col min="518" max="518" width="2.85546875" style="1" customWidth="1"/>
    <col min="519" max="519" width="16.140625" style="1" customWidth="1"/>
    <col min="520" max="520" width="4.42578125" style="1" customWidth="1"/>
    <col min="521" max="522" width="9.140625" style="1"/>
    <col min="523" max="523" width="4.140625" style="1" customWidth="1"/>
    <col min="524" max="525" width="9.140625" style="1"/>
    <col min="526" max="526" width="1.85546875" style="1" customWidth="1"/>
    <col min="527" max="768" width="9.140625" style="1"/>
    <col min="769" max="769" width="2" style="1" customWidth="1"/>
    <col min="770" max="771" width="9.140625" style="1"/>
    <col min="772" max="772" width="12" style="1" customWidth="1"/>
    <col min="773" max="773" width="9.140625" style="1"/>
    <col min="774" max="774" width="2.85546875" style="1" customWidth="1"/>
    <col min="775" max="775" width="16.140625" style="1" customWidth="1"/>
    <col min="776" max="776" width="4.42578125" style="1" customWidth="1"/>
    <col min="777" max="778" width="9.140625" style="1"/>
    <col min="779" max="779" width="4.140625" style="1" customWidth="1"/>
    <col min="780" max="781" width="9.140625" style="1"/>
    <col min="782" max="782" width="1.85546875" style="1" customWidth="1"/>
    <col min="783" max="1024" width="9.140625" style="1"/>
    <col min="1025" max="1025" width="2" style="1" customWidth="1"/>
    <col min="1026" max="1027" width="9.140625" style="1"/>
    <col min="1028" max="1028" width="12" style="1" customWidth="1"/>
    <col min="1029" max="1029" width="9.140625" style="1"/>
    <col min="1030" max="1030" width="2.85546875" style="1" customWidth="1"/>
    <col min="1031" max="1031" width="16.140625" style="1" customWidth="1"/>
    <col min="1032" max="1032" width="4.42578125" style="1" customWidth="1"/>
    <col min="1033" max="1034" width="9.140625" style="1"/>
    <col min="1035" max="1035" width="4.140625" style="1" customWidth="1"/>
    <col min="1036" max="1037" width="9.140625" style="1"/>
    <col min="1038" max="1038" width="1.85546875" style="1" customWidth="1"/>
    <col min="1039" max="1280" width="9.140625" style="1"/>
    <col min="1281" max="1281" width="2" style="1" customWidth="1"/>
    <col min="1282" max="1283" width="9.140625" style="1"/>
    <col min="1284" max="1284" width="12" style="1" customWidth="1"/>
    <col min="1285" max="1285" width="9.140625" style="1"/>
    <col min="1286" max="1286" width="2.85546875" style="1" customWidth="1"/>
    <col min="1287" max="1287" width="16.140625" style="1" customWidth="1"/>
    <col min="1288" max="1288" width="4.42578125" style="1" customWidth="1"/>
    <col min="1289" max="1290" width="9.140625" style="1"/>
    <col min="1291" max="1291" width="4.140625" style="1" customWidth="1"/>
    <col min="1292" max="1293" width="9.140625" style="1"/>
    <col min="1294" max="1294" width="1.85546875" style="1" customWidth="1"/>
    <col min="1295" max="1536" width="9.140625" style="1"/>
    <col min="1537" max="1537" width="2" style="1" customWidth="1"/>
    <col min="1538" max="1539" width="9.140625" style="1"/>
    <col min="1540" max="1540" width="12" style="1" customWidth="1"/>
    <col min="1541" max="1541" width="9.140625" style="1"/>
    <col min="1542" max="1542" width="2.85546875" style="1" customWidth="1"/>
    <col min="1543" max="1543" width="16.140625" style="1" customWidth="1"/>
    <col min="1544" max="1544" width="4.42578125" style="1" customWidth="1"/>
    <col min="1545" max="1546" width="9.140625" style="1"/>
    <col min="1547" max="1547" width="4.140625" style="1" customWidth="1"/>
    <col min="1548" max="1549" width="9.140625" style="1"/>
    <col min="1550" max="1550" width="1.85546875" style="1" customWidth="1"/>
    <col min="1551" max="1792" width="9.140625" style="1"/>
    <col min="1793" max="1793" width="2" style="1" customWidth="1"/>
    <col min="1794" max="1795" width="9.140625" style="1"/>
    <col min="1796" max="1796" width="12" style="1" customWidth="1"/>
    <col min="1797" max="1797" width="9.140625" style="1"/>
    <col min="1798" max="1798" width="2.85546875" style="1" customWidth="1"/>
    <col min="1799" max="1799" width="16.140625" style="1" customWidth="1"/>
    <col min="1800" max="1800" width="4.42578125" style="1" customWidth="1"/>
    <col min="1801" max="1802" width="9.140625" style="1"/>
    <col min="1803" max="1803" width="4.140625" style="1" customWidth="1"/>
    <col min="1804" max="1805" width="9.140625" style="1"/>
    <col min="1806" max="1806" width="1.85546875" style="1" customWidth="1"/>
    <col min="1807" max="2048" width="9.140625" style="1"/>
    <col min="2049" max="2049" width="2" style="1" customWidth="1"/>
    <col min="2050" max="2051" width="9.140625" style="1"/>
    <col min="2052" max="2052" width="12" style="1" customWidth="1"/>
    <col min="2053" max="2053" width="9.140625" style="1"/>
    <col min="2054" max="2054" width="2.85546875" style="1" customWidth="1"/>
    <col min="2055" max="2055" width="16.140625" style="1" customWidth="1"/>
    <col min="2056" max="2056" width="4.42578125" style="1" customWidth="1"/>
    <col min="2057" max="2058" width="9.140625" style="1"/>
    <col min="2059" max="2059" width="4.140625" style="1" customWidth="1"/>
    <col min="2060" max="2061" width="9.140625" style="1"/>
    <col min="2062" max="2062" width="1.85546875" style="1" customWidth="1"/>
    <col min="2063" max="2304" width="9.140625" style="1"/>
    <col min="2305" max="2305" width="2" style="1" customWidth="1"/>
    <col min="2306" max="2307" width="9.140625" style="1"/>
    <col min="2308" max="2308" width="12" style="1" customWidth="1"/>
    <col min="2309" max="2309" width="9.140625" style="1"/>
    <col min="2310" max="2310" width="2.85546875" style="1" customWidth="1"/>
    <col min="2311" max="2311" width="16.140625" style="1" customWidth="1"/>
    <col min="2312" max="2312" width="4.42578125" style="1" customWidth="1"/>
    <col min="2313" max="2314" width="9.140625" style="1"/>
    <col min="2315" max="2315" width="4.140625" style="1" customWidth="1"/>
    <col min="2316" max="2317" width="9.140625" style="1"/>
    <col min="2318" max="2318" width="1.85546875" style="1" customWidth="1"/>
    <col min="2319" max="2560" width="9.140625" style="1"/>
    <col min="2561" max="2561" width="2" style="1" customWidth="1"/>
    <col min="2562" max="2563" width="9.140625" style="1"/>
    <col min="2564" max="2564" width="12" style="1" customWidth="1"/>
    <col min="2565" max="2565" width="9.140625" style="1"/>
    <col min="2566" max="2566" width="2.85546875" style="1" customWidth="1"/>
    <col min="2567" max="2567" width="16.140625" style="1" customWidth="1"/>
    <col min="2568" max="2568" width="4.42578125" style="1" customWidth="1"/>
    <col min="2569" max="2570" width="9.140625" style="1"/>
    <col min="2571" max="2571" width="4.140625" style="1" customWidth="1"/>
    <col min="2572" max="2573" width="9.140625" style="1"/>
    <col min="2574" max="2574" width="1.85546875" style="1" customWidth="1"/>
    <col min="2575" max="2816" width="9.140625" style="1"/>
    <col min="2817" max="2817" width="2" style="1" customWidth="1"/>
    <col min="2818" max="2819" width="9.140625" style="1"/>
    <col min="2820" max="2820" width="12" style="1" customWidth="1"/>
    <col min="2821" max="2821" width="9.140625" style="1"/>
    <col min="2822" max="2822" width="2.85546875" style="1" customWidth="1"/>
    <col min="2823" max="2823" width="16.140625" style="1" customWidth="1"/>
    <col min="2824" max="2824" width="4.42578125" style="1" customWidth="1"/>
    <col min="2825" max="2826" width="9.140625" style="1"/>
    <col min="2827" max="2827" width="4.140625" style="1" customWidth="1"/>
    <col min="2828" max="2829" width="9.140625" style="1"/>
    <col min="2830" max="2830" width="1.85546875" style="1" customWidth="1"/>
    <col min="2831" max="3072" width="9.140625" style="1"/>
    <col min="3073" max="3073" width="2" style="1" customWidth="1"/>
    <col min="3074" max="3075" width="9.140625" style="1"/>
    <col min="3076" max="3076" width="12" style="1" customWidth="1"/>
    <col min="3077" max="3077" width="9.140625" style="1"/>
    <col min="3078" max="3078" width="2.85546875" style="1" customWidth="1"/>
    <col min="3079" max="3079" width="16.140625" style="1" customWidth="1"/>
    <col min="3080" max="3080" width="4.42578125" style="1" customWidth="1"/>
    <col min="3081" max="3082" width="9.140625" style="1"/>
    <col min="3083" max="3083" width="4.140625" style="1" customWidth="1"/>
    <col min="3084" max="3085" width="9.140625" style="1"/>
    <col min="3086" max="3086" width="1.85546875" style="1" customWidth="1"/>
    <col min="3087" max="3328" width="9.140625" style="1"/>
    <col min="3329" max="3329" width="2" style="1" customWidth="1"/>
    <col min="3330" max="3331" width="9.140625" style="1"/>
    <col min="3332" max="3332" width="12" style="1" customWidth="1"/>
    <col min="3333" max="3333" width="9.140625" style="1"/>
    <col min="3334" max="3334" width="2.85546875" style="1" customWidth="1"/>
    <col min="3335" max="3335" width="16.140625" style="1" customWidth="1"/>
    <col min="3336" max="3336" width="4.42578125" style="1" customWidth="1"/>
    <col min="3337" max="3338" width="9.140625" style="1"/>
    <col min="3339" max="3339" width="4.140625" style="1" customWidth="1"/>
    <col min="3340" max="3341" width="9.140625" style="1"/>
    <col min="3342" max="3342" width="1.85546875" style="1" customWidth="1"/>
    <col min="3343" max="3584" width="9.140625" style="1"/>
    <col min="3585" max="3585" width="2" style="1" customWidth="1"/>
    <col min="3586" max="3587" width="9.140625" style="1"/>
    <col min="3588" max="3588" width="12" style="1" customWidth="1"/>
    <col min="3589" max="3589" width="9.140625" style="1"/>
    <col min="3590" max="3590" width="2.85546875" style="1" customWidth="1"/>
    <col min="3591" max="3591" width="16.140625" style="1" customWidth="1"/>
    <col min="3592" max="3592" width="4.42578125" style="1" customWidth="1"/>
    <col min="3593" max="3594" width="9.140625" style="1"/>
    <col min="3595" max="3595" width="4.140625" style="1" customWidth="1"/>
    <col min="3596" max="3597" width="9.140625" style="1"/>
    <col min="3598" max="3598" width="1.85546875" style="1" customWidth="1"/>
    <col min="3599" max="3840" width="9.140625" style="1"/>
    <col min="3841" max="3841" width="2" style="1" customWidth="1"/>
    <col min="3842" max="3843" width="9.140625" style="1"/>
    <col min="3844" max="3844" width="12" style="1" customWidth="1"/>
    <col min="3845" max="3845" width="9.140625" style="1"/>
    <col min="3846" max="3846" width="2.85546875" style="1" customWidth="1"/>
    <col min="3847" max="3847" width="16.140625" style="1" customWidth="1"/>
    <col min="3848" max="3848" width="4.42578125" style="1" customWidth="1"/>
    <col min="3849" max="3850" width="9.140625" style="1"/>
    <col min="3851" max="3851" width="4.140625" style="1" customWidth="1"/>
    <col min="3852" max="3853" width="9.140625" style="1"/>
    <col min="3854" max="3854" width="1.85546875" style="1" customWidth="1"/>
    <col min="3855" max="4096" width="9.140625" style="1"/>
    <col min="4097" max="4097" width="2" style="1" customWidth="1"/>
    <col min="4098" max="4099" width="9.140625" style="1"/>
    <col min="4100" max="4100" width="12" style="1" customWidth="1"/>
    <col min="4101" max="4101" width="9.140625" style="1"/>
    <col min="4102" max="4102" width="2.85546875" style="1" customWidth="1"/>
    <col min="4103" max="4103" width="16.140625" style="1" customWidth="1"/>
    <col min="4104" max="4104" width="4.42578125" style="1" customWidth="1"/>
    <col min="4105" max="4106" width="9.140625" style="1"/>
    <col min="4107" max="4107" width="4.140625" style="1" customWidth="1"/>
    <col min="4108" max="4109" width="9.140625" style="1"/>
    <col min="4110" max="4110" width="1.85546875" style="1" customWidth="1"/>
    <col min="4111" max="4352" width="9.140625" style="1"/>
    <col min="4353" max="4353" width="2" style="1" customWidth="1"/>
    <col min="4354" max="4355" width="9.140625" style="1"/>
    <col min="4356" max="4356" width="12" style="1" customWidth="1"/>
    <col min="4357" max="4357" width="9.140625" style="1"/>
    <col min="4358" max="4358" width="2.85546875" style="1" customWidth="1"/>
    <col min="4359" max="4359" width="16.140625" style="1" customWidth="1"/>
    <col min="4360" max="4360" width="4.42578125" style="1" customWidth="1"/>
    <col min="4361" max="4362" width="9.140625" style="1"/>
    <col min="4363" max="4363" width="4.140625" style="1" customWidth="1"/>
    <col min="4364" max="4365" width="9.140625" style="1"/>
    <col min="4366" max="4366" width="1.85546875" style="1" customWidth="1"/>
    <col min="4367" max="4608" width="9.140625" style="1"/>
    <col min="4609" max="4609" width="2" style="1" customWidth="1"/>
    <col min="4610" max="4611" width="9.140625" style="1"/>
    <col min="4612" max="4612" width="12" style="1" customWidth="1"/>
    <col min="4613" max="4613" width="9.140625" style="1"/>
    <col min="4614" max="4614" width="2.85546875" style="1" customWidth="1"/>
    <col min="4615" max="4615" width="16.140625" style="1" customWidth="1"/>
    <col min="4616" max="4616" width="4.42578125" style="1" customWidth="1"/>
    <col min="4617" max="4618" width="9.140625" style="1"/>
    <col min="4619" max="4619" width="4.140625" style="1" customWidth="1"/>
    <col min="4620" max="4621" width="9.140625" style="1"/>
    <col min="4622" max="4622" width="1.85546875" style="1" customWidth="1"/>
    <col min="4623" max="4864" width="9.140625" style="1"/>
    <col min="4865" max="4865" width="2" style="1" customWidth="1"/>
    <col min="4866" max="4867" width="9.140625" style="1"/>
    <col min="4868" max="4868" width="12" style="1" customWidth="1"/>
    <col min="4869" max="4869" width="9.140625" style="1"/>
    <col min="4870" max="4870" width="2.85546875" style="1" customWidth="1"/>
    <col min="4871" max="4871" width="16.140625" style="1" customWidth="1"/>
    <col min="4872" max="4872" width="4.42578125" style="1" customWidth="1"/>
    <col min="4873" max="4874" width="9.140625" style="1"/>
    <col min="4875" max="4875" width="4.140625" style="1" customWidth="1"/>
    <col min="4876" max="4877" width="9.140625" style="1"/>
    <col min="4878" max="4878" width="1.85546875" style="1" customWidth="1"/>
    <col min="4879" max="5120" width="9.140625" style="1"/>
    <col min="5121" max="5121" width="2" style="1" customWidth="1"/>
    <col min="5122" max="5123" width="9.140625" style="1"/>
    <col min="5124" max="5124" width="12" style="1" customWidth="1"/>
    <col min="5125" max="5125" width="9.140625" style="1"/>
    <col min="5126" max="5126" width="2.85546875" style="1" customWidth="1"/>
    <col min="5127" max="5127" width="16.140625" style="1" customWidth="1"/>
    <col min="5128" max="5128" width="4.42578125" style="1" customWidth="1"/>
    <col min="5129" max="5130" width="9.140625" style="1"/>
    <col min="5131" max="5131" width="4.140625" style="1" customWidth="1"/>
    <col min="5132" max="5133" width="9.140625" style="1"/>
    <col min="5134" max="5134" width="1.85546875" style="1" customWidth="1"/>
    <col min="5135" max="5376" width="9.140625" style="1"/>
    <col min="5377" max="5377" width="2" style="1" customWidth="1"/>
    <col min="5378" max="5379" width="9.140625" style="1"/>
    <col min="5380" max="5380" width="12" style="1" customWidth="1"/>
    <col min="5381" max="5381" width="9.140625" style="1"/>
    <col min="5382" max="5382" width="2.85546875" style="1" customWidth="1"/>
    <col min="5383" max="5383" width="16.140625" style="1" customWidth="1"/>
    <col min="5384" max="5384" width="4.42578125" style="1" customWidth="1"/>
    <col min="5385" max="5386" width="9.140625" style="1"/>
    <col min="5387" max="5387" width="4.140625" style="1" customWidth="1"/>
    <col min="5388" max="5389" width="9.140625" style="1"/>
    <col min="5390" max="5390" width="1.85546875" style="1" customWidth="1"/>
    <col min="5391" max="5632" width="9.140625" style="1"/>
    <col min="5633" max="5633" width="2" style="1" customWidth="1"/>
    <col min="5634" max="5635" width="9.140625" style="1"/>
    <col min="5636" max="5636" width="12" style="1" customWidth="1"/>
    <col min="5637" max="5637" width="9.140625" style="1"/>
    <col min="5638" max="5638" width="2.85546875" style="1" customWidth="1"/>
    <col min="5639" max="5639" width="16.140625" style="1" customWidth="1"/>
    <col min="5640" max="5640" width="4.42578125" style="1" customWidth="1"/>
    <col min="5641" max="5642" width="9.140625" style="1"/>
    <col min="5643" max="5643" width="4.140625" style="1" customWidth="1"/>
    <col min="5644" max="5645" width="9.140625" style="1"/>
    <col min="5646" max="5646" width="1.85546875" style="1" customWidth="1"/>
    <col min="5647" max="5888" width="9.140625" style="1"/>
    <col min="5889" max="5889" width="2" style="1" customWidth="1"/>
    <col min="5890" max="5891" width="9.140625" style="1"/>
    <col min="5892" max="5892" width="12" style="1" customWidth="1"/>
    <col min="5893" max="5893" width="9.140625" style="1"/>
    <col min="5894" max="5894" width="2.85546875" style="1" customWidth="1"/>
    <col min="5895" max="5895" width="16.140625" style="1" customWidth="1"/>
    <col min="5896" max="5896" width="4.42578125" style="1" customWidth="1"/>
    <col min="5897" max="5898" width="9.140625" style="1"/>
    <col min="5899" max="5899" width="4.140625" style="1" customWidth="1"/>
    <col min="5900" max="5901" width="9.140625" style="1"/>
    <col min="5902" max="5902" width="1.85546875" style="1" customWidth="1"/>
    <col min="5903" max="6144" width="9.140625" style="1"/>
    <col min="6145" max="6145" width="2" style="1" customWidth="1"/>
    <col min="6146" max="6147" width="9.140625" style="1"/>
    <col min="6148" max="6148" width="12" style="1" customWidth="1"/>
    <col min="6149" max="6149" width="9.140625" style="1"/>
    <col min="6150" max="6150" width="2.85546875" style="1" customWidth="1"/>
    <col min="6151" max="6151" width="16.140625" style="1" customWidth="1"/>
    <col min="6152" max="6152" width="4.42578125" style="1" customWidth="1"/>
    <col min="6153" max="6154" width="9.140625" style="1"/>
    <col min="6155" max="6155" width="4.140625" style="1" customWidth="1"/>
    <col min="6156" max="6157" width="9.140625" style="1"/>
    <col min="6158" max="6158" width="1.85546875" style="1" customWidth="1"/>
    <col min="6159" max="6400" width="9.140625" style="1"/>
    <col min="6401" max="6401" width="2" style="1" customWidth="1"/>
    <col min="6402" max="6403" width="9.140625" style="1"/>
    <col min="6404" max="6404" width="12" style="1" customWidth="1"/>
    <col min="6405" max="6405" width="9.140625" style="1"/>
    <col min="6406" max="6406" width="2.85546875" style="1" customWidth="1"/>
    <col min="6407" max="6407" width="16.140625" style="1" customWidth="1"/>
    <col min="6408" max="6408" width="4.42578125" style="1" customWidth="1"/>
    <col min="6409" max="6410" width="9.140625" style="1"/>
    <col min="6411" max="6411" width="4.140625" style="1" customWidth="1"/>
    <col min="6412" max="6413" width="9.140625" style="1"/>
    <col min="6414" max="6414" width="1.85546875" style="1" customWidth="1"/>
    <col min="6415" max="6656" width="9.140625" style="1"/>
    <col min="6657" max="6657" width="2" style="1" customWidth="1"/>
    <col min="6658" max="6659" width="9.140625" style="1"/>
    <col min="6660" max="6660" width="12" style="1" customWidth="1"/>
    <col min="6661" max="6661" width="9.140625" style="1"/>
    <col min="6662" max="6662" width="2.85546875" style="1" customWidth="1"/>
    <col min="6663" max="6663" width="16.140625" style="1" customWidth="1"/>
    <col min="6664" max="6664" width="4.42578125" style="1" customWidth="1"/>
    <col min="6665" max="6666" width="9.140625" style="1"/>
    <col min="6667" max="6667" width="4.140625" style="1" customWidth="1"/>
    <col min="6668" max="6669" width="9.140625" style="1"/>
    <col min="6670" max="6670" width="1.85546875" style="1" customWidth="1"/>
    <col min="6671" max="6912" width="9.140625" style="1"/>
    <col min="6913" max="6913" width="2" style="1" customWidth="1"/>
    <col min="6914" max="6915" width="9.140625" style="1"/>
    <col min="6916" max="6916" width="12" style="1" customWidth="1"/>
    <col min="6917" max="6917" width="9.140625" style="1"/>
    <col min="6918" max="6918" width="2.85546875" style="1" customWidth="1"/>
    <col min="6919" max="6919" width="16.140625" style="1" customWidth="1"/>
    <col min="6920" max="6920" width="4.42578125" style="1" customWidth="1"/>
    <col min="6921" max="6922" width="9.140625" style="1"/>
    <col min="6923" max="6923" width="4.140625" style="1" customWidth="1"/>
    <col min="6924" max="6925" width="9.140625" style="1"/>
    <col min="6926" max="6926" width="1.85546875" style="1" customWidth="1"/>
    <col min="6927" max="7168" width="9.140625" style="1"/>
    <col min="7169" max="7169" width="2" style="1" customWidth="1"/>
    <col min="7170" max="7171" width="9.140625" style="1"/>
    <col min="7172" max="7172" width="12" style="1" customWidth="1"/>
    <col min="7173" max="7173" width="9.140625" style="1"/>
    <col min="7174" max="7174" width="2.85546875" style="1" customWidth="1"/>
    <col min="7175" max="7175" width="16.140625" style="1" customWidth="1"/>
    <col min="7176" max="7176" width="4.42578125" style="1" customWidth="1"/>
    <col min="7177" max="7178" width="9.140625" style="1"/>
    <col min="7179" max="7179" width="4.140625" style="1" customWidth="1"/>
    <col min="7180" max="7181" width="9.140625" style="1"/>
    <col min="7182" max="7182" width="1.85546875" style="1" customWidth="1"/>
    <col min="7183" max="7424" width="9.140625" style="1"/>
    <col min="7425" max="7425" width="2" style="1" customWidth="1"/>
    <col min="7426" max="7427" width="9.140625" style="1"/>
    <col min="7428" max="7428" width="12" style="1" customWidth="1"/>
    <col min="7429" max="7429" width="9.140625" style="1"/>
    <col min="7430" max="7430" width="2.85546875" style="1" customWidth="1"/>
    <col min="7431" max="7431" width="16.140625" style="1" customWidth="1"/>
    <col min="7432" max="7432" width="4.42578125" style="1" customWidth="1"/>
    <col min="7433" max="7434" width="9.140625" style="1"/>
    <col min="7435" max="7435" width="4.140625" style="1" customWidth="1"/>
    <col min="7436" max="7437" width="9.140625" style="1"/>
    <col min="7438" max="7438" width="1.85546875" style="1" customWidth="1"/>
    <col min="7439" max="7680" width="9.140625" style="1"/>
    <col min="7681" max="7681" width="2" style="1" customWidth="1"/>
    <col min="7682" max="7683" width="9.140625" style="1"/>
    <col min="7684" max="7684" width="12" style="1" customWidth="1"/>
    <col min="7685" max="7685" width="9.140625" style="1"/>
    <col min="7686" max="7686" width="2.85546875" style="1" customWidth="1"/>
    <col min="7687" max="7687" width="16.140625" style="1" customWidth="1"/>
    <col min="7688" max="7688" width="4.42578125" style="1" customWidth="1"/>
    <col min="7689" max="7690" width="9.140625" style="1"/>
    <col min="7691" max="7691" width="4.140625" style="1" customWidth="1"/>
    <col min="7692" max="7693" width="9.140625" style="1"/>
    <col min="7694" max="7694" width="1.85546875" style="1" customWidth="1"/>
    <col min="7695" max="7936" width="9.140625" style="1"/>
    <col min="7937" max="7937" width="2" style="1" customWidth="1"/>
    <col min="7938" max="7939" width="9.140625" style="1"/>
    <col min="7940" max="7940" width="12" style="1" customWidth="1"/>
    <col min="7941" max="7941" width="9.140625" style="1"/>
    <col min="7942" max="7942" width="2.85546875" style="1" customWidth="1"/>
    <col min="7943" max="7943" width="16.140625" style="1" customWidth="1"/>
    <col min="7944" max="7944" width="4.42578125" style="1" customWidth="1"/>
    <col min="7945" max="7946" width="9.140625" style="1"/>
    <col min="7947" max="7947" width="4.140625" style="1" customWidth="1"/>
    <col min="7948" max="7949" width="9.140625" style="1"/>
    <col min="7950" max="7950" width="1.85546875" style="1" customWidth="1"/>
    <col min="7951" max="8192" width="9.140625" style="1"/>
    <col min="8193" max="8193" width="2" style="1" customWidth="1"/>
    <col min="8194" max="8195" width="9.140625" style="1"/>
    <col min="8196" max="8196" width="12" style="1" customWidth="1"/>
    <col min="8197" max="8197" width="9.140625" style="1"/>
    <col min="8198" max="8198" width="2.85546875" style="1" customWidth="1"/>
    <col min="8199" max="8199" width="16.140625" style="1" customWidth="1"/>
    <col min="8200" max="8200" width="4.42578125" style="1" customWidth="1"/>
    <col min="8201" max="8202" width="9.140625" style="1"/>
    <col min="8203" max="8203" width="4.140625" style="1" customWidth="1"/>
    <col min="8204" max="8205" width="9.140625" style="1"/>
    <col min="8206" max="8206" width="1.85546875" style="1" customWidth="1"/>
    <col min="8207" max="8448" width="9.140625" style="1"/>
    <col min="8449" max="8449" width="2" style="1" customWidth="1"/>
    <col min="8450" max="8451" width="9.140625" style="1"/>
    <col min="8452" max="8452" width="12" style="1" customWidth="1"/>
    <col min="8453" max="8453" width="9.140625" style="1"/>
    <col min="8454" max="8454" width="2.85546875" style="1" customWidth="1"/>
    <col min="8455" max="8455" width="16.140625" style="1" customWidth="1"/>
    <col min="8456" max="8456" width="4.42578125" style="1" customWidth="1"/>
    <col min="8457" max="8458" width="9.140625" style="1"/>
    <col min="8459" max="8459" width="4.140625" style="1" customWidth="1"/>
    <col min="8460" max="8461" width="9.140625" style="1"/>
    <col min="8462" max="8462" width="1.85546875" style="1" customWidth="1"/>
    <col min="8463" max="8704" width="9.140625" style="1"/>
    <col min="8705" max="8705" width="2" style="1" customWidth="1"/>
    <col min="8706" max="8707" width="9.140625" style="1"/>
    <col min="8708" max="8708" width="12" style="1" customWidth="1"/>
    <col min="8709" max="8709" width="9.140625" style="1"/>
    <col min="8710" max="8710" width="2.85546875" style="1" customWidth="1"/>
    <col min="8711" max="8711" width="16.140625" style="1" customWidth="1"/>
    <col min="8712" max="8712" width="4.42578125" style="1" customWidth="1"/>
    <col min="8713" max="8714" width="9.140625" style="1"/>
    <col min="8715" max="8715" width="4.140625" style="1" customWidth="1"/>
    <col min="8716" max="8717" width="9.140625" style="1"/>
    <col min="8718" max="8718" width="1.85546875" style="1" customWidth="1"/>
    <col min="8719" max="8960" width="9.140625" style="1"/>
    <col min="8961" max="8961" width="2" style="1" customWidth="1"/>
    <col min="8962" max="8963" width="9.140625" style="1"/>
    <col min="8964" max="8964" width="12" style="1" customWidth="1"/>
    <col min="8965" max="8965" width="9.140625" style="1"/>
    <col min="8966" max="8966" width="2.85546875" style="1" customWidth="1"/>
    <col min="8967" max="8967" width="16.140625" style="1" customWidth="1"/>
    <col min="8968" max="8968" width="4.42578125" style="1" customWidth="1"/>
    <col min="8969" max="8970" width="9.140625" style="1"/>
    <col min="8971" max="8971" width="4.140625" style="1" customWidth="1"/>
    <col min="8972" max="8973" width="9.140625" style="1"/>
    <col min="8974" max="8974" width="1.85546875" style="1" customWidth="1"/>
    <col min="8975" max="9216" width="9.140625" style="1"/>
    <col min="9217" max="9217" width="2" style="1" customWidth="1"/>
    <col min="9218" max="9219" width="9.140625" style="1"/>
    <col min="9220" max="9220" width="12" style="1" customWidth="1"/>
    <col min="9221" max="9221" width="9.140625" style="1"/>
    <col min="9222" max="9222" width="2.85546875" style="1" customWidth="1"/>
    <col min="9223" max="9223" width="16.140625" style="1" customWidth="1"/>
    <col min="9224" max="9224" width="4.42578125" style="1" customWidth="1"/>
    <col min="9225" max="9226" width="9.140625" style="1"/>
    <col min="9227" max="9227" width="4.140625" style="1" customWidth="1"/>
    <col min="9228" max="9229" width="9.140625" style="1"/>
    <col min="9230" max="9230" width="1.85546875" style="1" customWidth="1"/>
    <col min="9231" max="9472" width="9.140625" style="1"/>
    <col min="9473" max="9473" width="2" style="1" customWidth="1"/>
    <col min="9474" max="9475" width="9.140625" style="1"/>
    <col min="9476" max="9476" width="12" style="1" customWidth="1"/>
    <col min="9477" max="9477" width="9.140625" style="1"/>
    <col min="9478" max="9478" width="2.85546875" style="1" customWidth="1"/>
    <col min="9479" max="9479" width="16.140625" style="1" customWidth="1"/>
    <col min="9480" max="9480" width="4.42578125" style="1" customWidth="1"/>
    <col min="9481" max="9482" width="9.140625" style="1"/>
    <col min="9483" max="9483" width="4.140625" style="1" customWidth="1"/>
    <col min="9484" max="9485" width="9.140625" style="1"/>
    <col min="9486" max="9486" width="1.85546875" style="1" customWidth="1"/>
    <col min="9487" max="9728" width="9.140625" style="1"/>
    <col min="9729" max="9729" width="2" style="1" customWidth="1"/>
    <col min="9730" max="9731" width="9.140625" style="1"/>
    <col min="9732" max="9732" width="12" style="1" customWidth="1"/>
    <col min="9733" max="9733" width="9.140625" style="1"/>
    <col min="9734" max="9734" width="2.85546875" style="1" customWidth="1"/>
    <col min="9735" max="9735" width="16.140625" style="1" customWidth="1"/>
    <col min="9736" max="9736" width="4.42578125" style="1" customWidth="1"/>
    <col min="9737" max="9738" width="9.140625" style="1"/>
    <col min="9739" max="9739" width="4.140625" style="1" customWidth="1"/>
    <col min="9740" max="9741" width="9.140625" style="1"/>
    <col min="9742" max="9742" width="1.85546875" style="1" customWidth="1"/>
    <col min="9743" max="9984" width="9.140625" style="1"/>
    <col min="9985" max="9985" width="2" style="1" customWidth="1"/>
    <col min="9986" max="9987" width="9.140625" style="1"/>
    <col min="9988" max="9988" width="12" style="1" customWidth="1"/>
    <col min="9989" max="9989" width="9.140625" style="1"/>
    <col min="9990" max="9990" width="2.85546875" style="1" customWidth="1"/>
    <col min="9991" max="9991" width="16.140625" style="1" customWidth="1"/>
    <col min="9992" max="9992" width="4.42578125" style="1" customWidth="1"/>
    <col min="9993" max="9994" width="9.140625" style="1"/>
    <col min="9995" max="9995" width="4.140625" style="1" customWidth="1"/>
    <col min="9996" max="9997" width="9.140625" style="1"/>
    <col min="9998" max="9998" width="1.85546875" style="1" customWidth="1"/>
    <col min="9999" max="10240" width="9.140625" style="1"/>
    <col min="10241" max="10241" width="2" style="1" customWidth="1"/>
    <col min="10242" max="10243" width="9.140625" style="1"/>
    <col min="10244" max="10244" width="12" style="1" customWidth="1"/>
    <col min="10245" max="10245" width="9.140625" style="1"/>
    <col min="10246" max="10246" width="2.85546875" style="1" customWidth="1"/>
    <col min="10247" max="10247" width="16.140625" style="1" customWidth="1"/>
    <col min="10248" max="10248" width="4.42578125" style="1" customWidth="1"/>
    <col min="10249" max="10250" width="9.140625" style="1"/>
    <col min="10251" max="10251" width="4.140625" style="1" customWidth="1"/>
    <col min="10252" max="10253" width="9.140625" style="1"/>
    <col min="10254" max="10254" width="1.85546875" style="1" customWidth="1"/>
    <col min="10255" max="10496" width="9.140625" style="1"/>
    <col min="10497" max="10497" width="2" style="1" customWidth="1"/>
    <col min="10498" max="10499" width="9.140625" style="1"/>
    <col min="10500" max="10500" width="12" style="1" customWidth="1"/>
    <col min="10501" max="10501" width="9.140625" style="1"/>
    <col min="10502" max="10502" width="2.85546875" style="1" customWidth="1"/>
    <col min="10503" max="10503" width="16.140625" style="1" customWidth="1"/>
    <col min="10504" max="10504" width="4.42578125" style="1" customWidth="1"/>
    <col min="10505" max="10506" width="9.140625" style="1"/>
    <col min="10507" max="10507" width="4.140625" style="1" customWidth="1"/>
    <col min="10508" max="10509" width="9.140625" style="1"/>
    <col min="10510" max="10510" width="1.85546875" style="1" customWidth="1"/>
    <col min="10511" max="10752" width="9.140625" style="1"/>
    <col min="10753" max="10753" width="2" style="1" customWidth="1"/>
    <col min="10754" max="10755" width="9.140625" style="1"/>
    <col min="10756" max="10756" width="12" style="1" customWidth="1"/>
    <col min="10757" max="10757" width="9.140625" style="1"/>
    <col min="10758" max="10758" width="2.85546875" style="1" customWidth="1"/>
    <col min="10759" max="10759" width="16.140625" style="1" customWidth="1"/>
    <col min="10760" max="10760" width="4.42578125" style="1" customWidth="1"/>
    <col min="10761" max="10762" width="9.140625" style="1"/>
    <col min="10763" max="10763" width="4.140625" style="1" customWidth="1"/>
    <col min="10764" max="10765" width="9.140625" style="1"/>
    <col min="10766" max="10766" width="1.85546875" style="1" customWidth="1"/>
    <col min="10767" max="11008" width="9.140625" style="1"/>
    <col min="11009" max="11009" width="2" style="1" customWidth="1"/>
    <col min="11010" max="11011" width="9.140625" style="1"/>
    <col min="11012" max="11012" width="12" style="1" customWidth="1"/>
    <col min="11013" max="11013" width="9.140625" style="1"/>
    <col min="11014" max="11014" width="2.85546875" style="1" customWidth="1"/>
    <col min="11015" max="11015" width="16.140625" style="1" customWidth="1"/>
    <col min="11016" max="11016" width="4.42578125" style="1" customWidth="1"/>
    <col min="11017" max="11018" width="9.140625" style="1"/>
    <col min="11019" max="11019" width="4.140625" style="1" customWidth="1"/>
    <col min="11020" max="11021" width="9.140625" style="1"/>
    <col min="11022" max="11022" width="1.85546875" style="1" customWidth="1"/>
    <col min="11023" max="11264" width="9.140625" style="1"/>
    <col min="11265" max="11265" width="2" style="1" customWidth="1"/>
    <col min="11266" max="11267" width="9.140625" style="1"/>
    <col min="11268" max="11268" width="12" style="1" customWidth="1"/>
    <col min="11269" max="11269" width="9.140625" style="1"/>
    <col min="11270" max="11270" width="2.85546875" style="1" customWidth="1"/>
    <col min="11271" max="11271" width="16.140625" style="1" customWidth="1"/>
    <col min="11272" max="11272" width="4.42578125" style="1" customWidth="1"/>
    <col min="11273" max="11274" width="9.140625" style="1"/>
    <col min="11275" max="11275" width="4.140625" style="1" customWidth="1"/>
    <col min="11276" max="11277" width="9.140625" style="1"/>
    <col min="11278" max="11278" width="1.85546875" style="1" customWidth="1"/>
    <col min="11279" max="11520" width="9.140625" style="1"/>
    <col min="11521" max="11521" width="2" style="1" customWidth="1"/>
    <col min="11522" max="11523" width="9.140625" style="1"/>
    <col min="11524" max="11524" width="12" style="1" customWidth="1"/>
    <col min="11525" max="11525" width="9.140625" style="1"/>
    <col min="11526" max="11526" width="2.85546875" style="1" customWidth="1"/>
    <col min="11527" max="11527" width="16.140625" style="1" customWidth="1"/>
    <col min="11528" max="11528" width="4.42578125" style="1" customWidth="1"/>
    <col min="11529" max="11530" width="9.140625" style="1"/>
    <col min="11531" max="11531" width="4.140625" style="1" customWidth="1"/>
    <col min="11532" max="11533" width="9.140625" style="1"/>
    <col min="11534" max="11534" width="1.85546875" style="1" customWidth="1"/>
    <col min="11535" max="11776" width="9.140625" style="1"/>
    <col min="11777" max="11777" width="2" style="1" customWidth="1"/>
    <col min="11778" max="11779" width="9.140625" style="1"/>
    <col min="11780" max="11780" width="12" style="1" customWidth="1"/>
    <col min="11781" max="11781" width="9.140625" style="1"/>
    <col min="11782" max="11782" width="2.85546875" style="1" customWidth="1"/>
    <col min="11783" max="11783" width="16.140625" style="1" customWidth="1"/>
    <col min="11784" max="11784" width="4.42578125" style="1" customWidth="1"/>
    <col min="11785" max="11786" width="9.140625" style="1"/>
    <col min="11787" max="11787" width="4.140625" style="1" customWidth="1"/>
    <col min="11788" max="11789" width="9.140625" style="1"/>
    <col min="11790" max="11790" width="1.85546875" style="1" customWidth="1"/>
    <col min="11791" max="12032" width="9.140625" style="1"/>
    <col min="12033" max="12033" width="2" style="1" customWidth="1"/>
    <col min="12034" max="12035" width="9.140625" style="1"/>
    <col min="12036" max="12036" width="12" style="1" customWidth="1"/>
    <col min="12037" max="12037" width="9.140625" style="1"/>
    <col min="12038" max="12038" width="2.85546875" style="1" customWidth="1"/>
    <col min="12039" max="12039" width="16.140625" style="1" customWidth="1"/>
    <col min="12040" max="12040" width="4.42578125" style="1" customWidth="1"/>
    <col min="12041" max="12042" width="9.140625" style="1"/>
    <col min="12043" max="12043" width="4.140625" style="1" customWidth="1"/>
    <col min="12044" max="12045" width="9.140625" style="1"/>
    <col min="12046" max="12046" width="1.85546875" style="1" customWidth="1"/>
    <col min="12047" max="12288" width="9.140625" style="1"/>
    <col min="12289" max="12289" width="2" style="1" customWidth="1"/>
    <col min="12290" max="12291" width="9.140625" style="1"/>
    <col min="12292" max="12292" width="12" style="1" customWidth="1"/>
    <col min="12293" max="12293" width="9.140625" style="1"/>
    <col min="12294" max="12294" width="2.85546875" style="1" customWidth="1"/>
    <col min="12295" max="12295" width="16.140625" style="1" customWidth="1"/>
    <col min="12296" max="12296" width="4.42578125" style="1" customWidth="1"/>
    <col min="12297" max="12298" width="9.140625" style="1"/>
    <col min="12299" max="12299" width="4.140625" style="1" customWidth="1"/>
    <col min="12300" max="12301" width="9.140625" style="1"/>
    <col min="12302" max="12302" width="1.85546875" style="1" customWidth="1"/>
    <col min="12303" max="12544" width="9.140625" style="1"/>
    <col min="12545" max="12545" width="2" style="1" customWidth="1"/>
    <col min="12546" max="12547" width="9.140625" style="1"/>
    <col min="12548" max="12548" width="12" style="1" customWidth="1"/>
    <col min="12549" max="12549" width="9.140625" style="1"/>
    <col min="12550" max="12550" width="2.85546875" style="1" customWidth="1"/>
    <col min="12551" max="12551" width="16.140625" style="1" customWidth="1"/>
    <col min="12552" max="12552" width="4.42578125" style="1" customWidth="1"/>
    <col min="12553" max="12554" width="9.140625" style="1"/>
    <col min="12555" max="12555" width="4.140625" style="1" customWidth="1"/>
    <col min="12556" max="12557" width="9.140625" style="1"/>
    <col min="12558" max="12558" width="1.85546875" style="1" customWidth="1"/>
    <col min="12559" max="12800" width="9.140625" style="1"/>
    <col min="12801" max="12801" width="2" style="1" customWidth="1"/>
    <col min="12802" max="12803" width="9.140625" style="1"/>
    <col min="12804" max="12804" width="12" style="1" customWidth="1"/>
    <col min="12805" max="12805" width="9.140625" style="1"/>
    <col min="12806" max="12806" width="2.85546875" style="1" customWidth="1"/>
    <col min="12807" max="12807" width="16.140625" style="1" customWidth="1"/>
    <col min="12808" max="12808" width="4.42578125" style="1" customWidth="1"/>
    <col min="12809" max="12810" width="9.140625" style="1"/>
    <col min="12811" max="12811" width="4.140625" style="1" customWidth="1"/>
    <col min="12812" max="12813" width="9.140625" style="1"/>
    <col min="12814" max="12814" width="1.85546875" style="1" customWidth="1"/>
    <col min="12815" max="13056" width="9.140625" style="1"/>
    <col min="13057" max="13057" width="2" style="1" customWidth="1"/>
    <col min="13058" max="13059" width="9.140625" style="1"/>
    <col min="13060" max="13060" width="12" style="1" customWidth="1"/>
    <col min="13061" max="13061" width="9.140625" style="1"/>
    <col min="13062" max="13062" width="2.85546875" style="1" customWidth="1"/>
    <col min="13063" max="13063" width="16.140625" style="1" customWidth="1"/>
    <col min="13064" max="13064" width="4.42578125" style="1" customWidth="1"/>
    <col min="13065" max="13066" width="9.140625" style="1"/>
    <col min="13067" max="13067" width="4.140625" style="1" customWidth="1"/>
    <col min="13068" max="13069" width="9.140625" style="1"/>
    <col min="13070" max="13070" width="1.85546875" style="1" customWidth="1"/>
    <col min="13071" max="13312" width="9.140625" style="1"/>
    <col min="13313" max="13313" width="2" style="1" customWidth="1"/>
    <col min="13314" max="13315" width="9.140625" style="1"/>
    <col min="13316" max="13316" width="12" style="1" customWidth="1"/>
    <col min="13317" max="13317" width="9.140625" style="1"/>
    <col min="13318" max="13318" width="2.85546875" style="1" customWidth="1"/>
    <col min="13319" max="13319" width="16.140625" style="1" customWidth="1"/>
    <col min="13320" max="13320" width="4.42578125" style="1" customWidth="1"/>
    <col min="13321" max="13322" width="9.140625" style="1"/>
    <col min="13323" max="13323" width="4.140625" style="1" customWidth="1"/>
    <col min="13324" max="13325" width="9.140625" style="1"/>
    <col min="13326" max="13326" width="1.85546875" style="1" customWidth="1"/>
    <col min="13327" max="13568" width="9.140625" style="1"/>
    <col min="13569" max="13569" width="2" style="1" customWidth="1"/>
    <col min="13570" max="13571" width="9.140625" style="1"/>
    <col min="13572" max="13572" width="12" style="1" customWidth="1"/>
    <col min="13573" max="13573" width="9.140625" style="1"/>
    <col min="13574" max="13574" width="2.85546875" style="1" customWidth="1"/>
    <col min="13575" max="13575" width="16.140625" style="1" customWidth="1"/>
    <col min="13576" max="13576" width="4.42578125" style="1" customWidth="1"/>
    <col min="13577" max="13578" width="9.140625" style="1"/>
    <col min="13579" max="13579" width="4.140625" style="1" customWidth="1"/>
    <col min="13580" max="13581" width="9.140625" style="1"/>
    <col min="13582" max="13582" width="1.85546875" style="1" customWidth="1"/>
    <col min="13583" max="13824" width="9.140625" style="1"/>
    <col min="13825" max="13825" width="2" style="1" customWidth="1"/>
    <col min="13826" max="13827" width="9.140625" style="1"/>
    <col min="13828" max="13828" width="12" style="1" customWidth="1"/>
    <col min="13829" max="13829" width="9.140625" style="1"/>
    <col min="13830" max="13830" width="2.85546875" style="1" customWidth="1"/>
    <col min="13831" max="13831" width="16.140625" style="1" customWidth="1"/>
    <col min="13832" max="13832" width="4.42578125" style="1" customWidth="1"/>
    <col min="13833" max="13834" width="9.140625" style="1"/>
    <col min="13835" max="13835" width="4.140625" style="1" customWidth="1"/>
    <col min="13836" max="13837" width="9.140625" style="1"/>
    <col min="13838" max="13838" width="1.85546875" style="1" customWidth="1"/>
    <col min="13839" max="14080" width="9.140625" style="1"/>
    <col min="14081" max="14081" width="2" style="1" customWidth="1"/>
    <col min="14082" max="14083" width="9.140625" style="1"/>
    <col min="14084" max="14084" width="12" style="1" customWidth="1"/>
    <col min="14085" max="14085" width="9.140625" style="1"/>
    <col min="14086" max="14086" width="2.85546875" style="1" customWidth="1"/>
    <col min="14087" max="14087" width="16.140625" style="1" customWidth="1"/>
    <col min="14088" max="14088" width="4.42578125" style="1" customWidth="1"/>
    <col min="14089" max="14090" width="9.140625" style="1"/>
    <col min="14091" max="14091" width="4.140625" style="1" customWidth="1"/>
    <col min="14092" max="14093" width="9.140625" style="1"/>
    <col min="14094" max="14094" width="1.85546875" style="1" customWidth="1"/>
    <col min="14095" max="14336" width="9.140625" style="1"/>
    <col min="14337" max="14337" width="2" style="1" customWidth="1"/>
    <col min="14338" max="14339" width="9.140625" style="1"/>
    <col min="14340" max="14340" width="12" style="1" customWidth="1"/>
    <col min="14341" max="14341" width="9.140625" style="1"/>
    <col min="14342" max="14342" width="2.85546875" style="1" customWidth="1"/>
    <col min="14343" max="14343" width="16.140625" style="1" customWidth="1"/>
    <col min="14344" max="14344" width="4.42578125" style="1" customWidth="1"/>
    <col min="14345" max="14346" width="9.140625" style="1"/>
    <col min="14347" max="14347" width="4.140625" style="1" customWidth="1"/>
    <col min="14348" max="14349" width="9.140625" style="1"/>
    <col min="14350" max="14350" width="1.85546875" style="1" customWidth="1"/>
    <col min="14351" max="14592" width="9.140625" style="1"/>
    <col min="14593" max="14593" width="2" style="1" customWidth="1"/>
    <col min="14594" max="14595" width="9.140625" style="1"/>
    <col min="14596" max="14596" width="12" style="1" customWidth="1"/>
    <col min="14597" max="14597" width="9.140625" style="1"/>
    <col min="14598" max="14598" width="2.85546875" style="1" customWidth="1"/>
    <col min="14599" max="14599" width="16.140625" style="1" customWidth="1"/>
    <col min="14600" max="14600" width="4.42578125" style="1" customWidth="1"/>
    <col min="14601" max="14602" width="9.140625" style="1"/>
    <col min="14603" max="14603" width="4.140625" style="1" customWidth="1"/>
    <col min="14604" max="14605" width="9.140625" style="1"/>
    <col min="14606" max="14606" width="1.85546875" style="1" customWidth="1"/>
    <col min="14607" max="14848" width="9.140625" style="1"/>
    <col min="14849" max="14849" width="2" style="1" customWidth="1"/>
    <col min="14850" max="14851" width="9.140625" style="1"/>
    <col min="14852" max="14852" width="12" style="1" customWidth="1"/>
    <col min="14853" max="14853" width="9.140625" style="1"/>
    <col min="14854" max="14854" width="2.85546875" style="1" customWidth="1"/>
    <col min="14855" max="14855" width="16.140625" style="1" customWidth="1"/>
    <col min="14856" max="14856" width="4.42578125" style="1" customWidth="1"/>
    <col min="14857" max="14858" width="9.140625" style="1"/>
    <col min="14859" max="14859" width="4.140625" style="1" customWidth="1"/>
    <col min="14860" max="14861" width="9.140625" style="1"/>
    <col min="14862" max="14862" width="1.85546875" style="1" customWidth="1"/>
    <col min="14863" max="15104" width="9.140625" style="1"/>
    <col min="15105" max="15105" width="2" style="1" customWidth="1"/>
    <col min="15106" max="15107" width="9.140625" style="1"/>
    <col min="15108" max="15108" width="12" style="1" customWidth="1"/>
    <col min="15109" max="15109" width="9.140625" style="1"/>
    <col min="15110" max="15110" width="2.85546875" style="1" customWidth="1"/>
    <col min="15111" max="15111" width="16.140625" style="1" customWidth="1"/>
    <col min="15112" max="15112" width="4.42578125" style="1" customWidth="1"/>
    <col min="15113" max="15114" width="9.140625" style="1"/>
    <col min="15115" max="15115" width="4.140625" style="1" customWidth="1"/>
    <col min="15116" max="15117" width="9.140625" style="1"/>
    <col min="15118" max="15118" width="1.85546875" style="1" customWidth="1"/>
    <col min="15119" max="15360" width="9.140625" style="1"/>
    <col min="15361" max="15361" width="2" style="1" customWidth="1"/>
    <col min="15362" max="15363" width="9.140625" style="1"/>
    <col min="15364" max="15364" width="12" style="1" customWidth="1"/>
    <col min="15365" max="15365" width="9.140625" style="1"/>
    <col min="15366" max="15366" width="2.85546875" style="1" customWidth="1"/>
    <col min="15367" max="15367" width="16.140625" style="1" customWidth="1"/>
    <col min="15368" max="15368" width="4.42578125" style="1" customWidth="1"/>
    <col min="15369" max="15370" width="9.140625" style="1"/>
    <col min="15371" max="15371" width="4.140625" style="1" customWidth="1"/>
    <col min="15372" max="15373" width="9.140625" style="1"/>
    <col min="15374" max="15374" width="1.85546875" style="1" customWidth="1"/>
    <col min="15375" max="15616" width="9.140625" style="1"/>
    <col min="15617" max="15617" width="2" style="1" customWidth="1"/>
    <col min="15618" max="15619" width="9.140625" style="1"/>
    <col min="15620" max="15620" width="12" style="1" customWidth="1"/>
    <col min="15621" max="15621" width="9.140625" style="1"/>
    <col min="15622" max="15622" width="2.85546875" style="1" customWidth="1"/>
    <col min="15623" max="15623" width="16.140625" style="1" customWidth="1"/>
    <col min="15624" max="15624" width="4.42578125" style="1" customWidth="1"/>
    <col min="15625" max="15626" width="9.140625" style="1"/>
    <col min="15627" max="15627" width="4.140625" style="1" customWidth="1"/>
    <col min="15628" max="15629" width="9.140625" style="1"/>
    <col min="15630" max="15630" width="1.85546875" style="1" customWidth="1"/>
    <col min="15631" max="15872" width="9.140625" style="1"/>
    <col min="15873" max="15873" width="2" style="1" customWidth="1"/>
    <col min="15874" max="15875" width="9.140625" style="1"/>
    <col min="15876" max="15876" width="12" style="1" customWidth="1"/>
    <col min="15877" max="15877" width="9.140625" style="1"/>
    <col min="15878" max="15878" width="2.85546875" style="1" customWidth="1"/>
    <col min="15879" max="15879" width="16.140625" style="1" customWidth="1"/>
    <col min="15880" max="15880" width="4.42578125" style="1" customWidth="1"/>
    <col min="15881" max="15882" width="9.140625" style="1"/>
    <col min="15883" max="15883" width="4.140625" style="1" customWidth="1"/>
    <col min="15884" max="15885" width="9.140625" style="1"/>
    <col min="15886" max="15886" width="1.85546875" style="1" customWidth="1"/>
    <col min="15887" max="16128" width="9.140625" style="1"/>
    <col min="16129" max="16129" width="2" style="1" customWidth="1"/>
    <col min="16130" max="16131" width="9.140625" style="1"/>
    <col min="16132" max="16132" width="12" style="1" customWidth="1"/>
    <col min="16133" max="16133" width="9.140625" style="1"/>
    <col min="16134" max="16134" width="2.85546875" style="1" customWidth="1"/>
    <col min="16135" max="16135" width="16.140625" style="1" customWidth="1"/>
    <col min="16136" max="16136" width="4.42578125" style="1" customWidth="1"/>
    <col min="16137" max="16138" width="9.140625" style="1"/>
    <col min="16139" max="16139" width="4.140625" style="1" customWidth="1"/>
    <col min="16140" max="16141" width="9.140625" style="1"/>
    <col min="16142" max="16142" width="1.85546875" style="1" customWidth="1"/>
    <col min="16143" max="16384" width="9.140625" style="1"/>
  </cols>
  <sheetData>
    <row r="1" spans="2:13" x14ac:dyDescent="0.25">
      <c r="B1" s="55" t="s">
        <v>22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2:13" x14ac:dyDescent="0.25">
      <c r="B2" s="55" t="s">
        <v>61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spans="2:13" x14ac:dyDescent="0.25">
      <c r="B4" s="42" t="s">
        <v>23</v>
      </c>
      <c r="C4" s="42"/>
      <c r="D4" s="42"/>
      <c r="E4" s="42"/>
      <c r="F4" s="4" t="s">
        <v>24</v>
      </c>
      <c r="G4" s="56">
        <v>46024</v>
      </c>
      <c r="H4" s="56"/>
      <c r="I4" s="56"/>
      <c r="J4" s="56"/>
      <c r="K4" s="56"/>
      <c r="L4" s="56"/>
      <c r="M4" s="56"/>
    </row>
    <row r="5" spans="2:13" x14ac:dyDescent="0.25">
      <c r="B5" s="42" t="s">
        <v>25</v>
      </c>
      <c r="C5" s="42"/>
      <c r="D5" s="42"/>
      <c r="E5" s="42"/>
      <c r="F5" s="4" t="s">
        <v>24</v>
      </c>
      <c r="G5" s="43" t="s">
        <v>26</v>
      </c>
      <c r="H5" s="43"/>
      <c r="I5" s="43"/>
      <c r="J5" s="43"/>
      <c r="K5" s="43"/>
      <c r="L5" s="43"/>
      <c r="M5" s="43"/>
    </row>
    <row r="6" spans="2:13" x14ac:dyDescent="0.25">
      <c r="B6" s="44" t="s">
        <v>27</v>
      </c>
      <c r="C6" s="44"/>
      <c r="D6" s="44"/>
      <c r="E6" s="44"/>
      <c r="F6" s="4" t="s">
        <v>24</v>
      </c>
      <c r="G6" s="53">
        <v>45992</v>
      </c>
      <c r="H6" s="53"/>
      <c r="I6" s="53"/>
      <c r="J6" s="53"/>
      <c r="K6" s="53"/>
      <c r="L6" s="53"/>
      <c r="M6" s="53"/>
    </row>
    <row r="7" spans="2:13" x14ac:dyDescent="0.25">
      <c r="B7" s="42" t="s">
        <v>28</v>
      </c>
      <c r="C7" s="42"/>
      <c r="D7" s="42"/>
      <c r="E7" s="42"/>
      <c r="F7" s="4" t="s">
        <v>24</v>
      </c>
      <c r="G7" s="53">
        <v>45991</v>
      </c>
      <c r="H7" s="53"/>
      <c r="I7" s="53"/>
      <c r="J7" s="53"/>
      <c r="K7" s="1" t="s">
        <v>29</v>
      </c>
      <c r="L7" s="49">
        <v>620611948</v>
      </c>
      <c r="M7" s="49"/>
    </row>
    <row r="8" spans="2:13" x14ac:dyDescent="0.25">
      <c r="C8" s="42" t="s">
        <v>30</v>
      </c>
      <c r="D8" s="42"/>
      <c r="E8" s="42"/>
      <c r="F8" s="4" t="s">
        <v>24</v>
      </c>
      <c r="G8" s="53">
        <v>46022</v>
      </c>
      <c r="H8" s="53"/>
      <c r="I8" s="53"/>
      <c r="J8" s="53"/>
      <c r="K8" s="1" t="s">
        <v>29</v>
      </c>
      <c r="L8" s="49">
        <v>110035509</v>
      </c>
      <c r="M8" s="49"/>
    </row>
    <row r="9" spans="2:13" x14ac:dyDescent="0.25">
      <c r="C9" s="42" t="s">
        <v>31</v>
      </c>
      <c r="D9" s="42"/>
      <c r="E9" s="42"/>
      <c r="F9" s="4" t="s">
        <v>24</v>
      </c>
      <c r="G9" s="53">
        <v>46022</v>
      </c>
      <c r="H9" s="53"/>
      <c r="I9" s="53"/>
      <c r="J9" s="53"/>
      <c r="K9" s="1" t="s">
        <v>29</v>
      </c>
      <c r="L9" s="49">
        <v>380371194</v>
      </c>
      <c r="M9" s="49"/>
    </row>
    <row r="10" spans="2:13" x14ac:dyDescent="0.25">
      <c r="C10" s="54" t="s">
        <v>32</v>
      </c>
      <c r="D10" s="54"/>
      <c r="E10" s="54"/>
      <c r="F10" s="4" t="s">
        <v>24</v>
      </c>
      <c r="K10" s="11" t="s">
        <v>29</v>
      </c>
      <c r="L10" s="48">
        <f>L7+L8-L9</f>
        <v>350276263</v>
      </c>
      <c r="M10" s="48"/>
    </row>
    <row r="11" spans="2:13" x14ac:dyDescent="0.25">
      <c r="F11" s="8"/>
      <c r="L11" s="5"/>
      <c r="M11" s="5"/>
    </row>
    <row r="12" spans="2:13" x14ac:dyDescent="0.25">
      <c r="B12" s="42" t="s">
        <v>33</v>
      </c>
      <c r="C12" s="42"/>
      <c r="D12" s="42"/>
      <c r="E12" s="42"/>
      <c r="J12" s="9" t="s">
        <v>24</v>
      </c>
      <c r="K12" s="10" t="s">
        <v>29</v>
      </c>
      <c r="L12" s="49">
        <v>350276263</v>
      </c>
      <c r="M12" s="49"/>
    </row>
    <row r="13" spans="2:13" x14ac:dyDescent="0.25">
      <c r="B13" s="42" t="s">
        <v>34</v>
      </c>
      <c r="C13" s="42"/>
      <c r="D13" s="42"/>
      <c r="E13" s="42"/>
      <c r="J13" s="9" t="s">
        <v>24</v>
      </c>
      <c r="K13" s="10" t="s">
        <v>29</v>
      </c>
      <c r="L13" s="49">
        <v>0</v>
      </c>
      <c r="M13" s="49"/>
    </row>
    <row r="14" spans="2:13" x14ac:dyDescent="0.25">
      <c r="B14" s="42" t="s">
        <v>35</v>
      </c>
      <c r="C14" s="42"/>
      <c r="D14" s="42"/>
      <c r="E14" s="42"/>
      <c r="L14" s="5"/>
      <c r="M14" s="5"/>
    </row>
    <row r="15" spans="2:13" x14ac:dyDescent="0.25">
      <c r="C15" s="11" t="s">
        <v>36</v>
      </c>
      <c r="D15" s="11"/>
      <c r="E15" s="11"/>
      <c r="F15" s="11"/>
      <c r="G15" s="11"/>
      <c r="H15" s="6"/>
      <c r="I15" s="11"/>
      <c r="J15" s="11"/>
      <c r="K15" s="11"/>
      <c r="L15" s="7"/>
      <c r="M15" s="7"/>
    </row>
    <row r="16" spans="2:13" x14ac:dyDescent="0.25">
      <c r="C16" s="42" t="s">
        <v>37</v>
      </c>
      <c r="D16" s="42"/>
      <c r="E16" s="12" t="s">
        <v>38</v>
      </c>
      <c r="F16" s="8">
        <v>0</v>
      </c>
      <c r="G16" s="1" t="s">
        <v>39</v>
      </c>
      <c r="H16" s="2" t="s">
        <v>29</v>
      </c>
      <c r="I16" s="49">
        <v>0</v>
      </c>
      <c r="J16" s="49"/>
      <c r="M16" s="13"/>
    </row>
    <row r="17" spans="2:13" x14ac:dyDescent="0.25">
      <c r="C17" s="42" t="s">
        <v>40</v>
      </c>
      <c r="D17" s="42"/>
      <c r="E17" s="12" t="s">
        <v>38</v>
      </c>
      <c r="F17" s="8">
        <v>0</v>
      </c>
      <c r="G17" s="1" t="s">
        <v>39</v>
      </c>
      <c r="H17" s="2" t="s">
        <v>29</v>
      </c>
      <c r="I17" s="49">
        <v>0</v>
      </c>
      <c r="J17" s="49"/>
      <c r="M17" s="14"/>
    </row>
    <row r="18" spans="2:13" x14ac:dyDescent="0.25">
      <c r="C18" s="42" t="s">
        <v>41</v>
      </c>
      <c r="D18" s="42"/>
      <c r="E18" s="12" t="s">
        <v>38</v>
      </c>
      <c r="F18" s="8">
        <v>0</v>
      </c>
      <c r="G18" s="1" t="s">
        <v>39</v>
      </c>
      <c r="H18" s="2" t="s">
        <v>29</v>
      </c>
      <c r="I18" s="49">
        <v>0</v>
      </c>
      <c r="J18" s="49"/>
      <c r="M18" s="14"/>
    </row>
    <row r="19" spans="2:13" x14ac:dyDescent="0.25">
      <c r="C19" s="42" t="s">
        <v>42</v>
      </c>
      <c r="D19" s="42"/>
      <c r="E19" s="12" t="s">
        <v>38</v>
      </c>
      <c r="F19" s="8">
        <v>0</v>
      </c>
      <c r="G19" s="1" t="s">
        <v>39</v>
      </c>
      <c r="H19" s="2" t="s">
        <v>29</v>
      </c>
      <c r="I19" s="49">
        <v>0</v>
      </c>
      <c r="J19" s="49"/>
      <c r="M19" s="14"/>
    </row>
    <row r="20" spans="2:13" x14ac:dyDescent="0.25">
      <c r="C20" s="42" t="s">
        <v>43</v>
      </c>
      <c r="D20" s="42"/>
      <c r="E20" s="12" t="s">
        <v>38</v>
      </c>
      <c r="F20" s="8">
        <v>0</v>
      </c>
      <c r="G20" s="1" t="s">
        <v>39</v>
      </c>
      <c r="H20" s="2" t="s">
        <v>29</v>
      </c>
      <c r="I20" s="49">
        <v>0</v>
      </c>
      <c r="J20" s="49"/>
      <c r="M20" s="14"/>
    </row>
    <row r="21" spans="2:13" x14ac:dyDescent="0.25">
      <c r="C21" s="42" t="s">
        <v>44</v>
      </c>
      <c r="D21" s="42"/>
      <c r="E21" s="12" t="s">
        <v>38</v>
      </c>
      <c r="F21" s="8">
        <v>0</v>
      </c>
      <c r="G21" s="1" t="s">
        <v>39</v>
      </c>
      <c r="H21" s="2" t="s">
        <v>29</v>
      </c>
      <c r="I21" s="49">
        <v>0</v>
      </c>
      <c r="J21" s="49"/>
      <c r="M21" s="14"/>
    </row>
    <row r="22" spans="2:13" x14ac:dyDescent="0.25">
      <c r="C22" s="42" t="s">
        <v>45</v>
      </c>
      <c r="D22" s="42"/>
      <c r="E22" s="12" t="s">
        <v>38</v>
      </c>
      <c r="F22" s="8">
        <v>0</v>
      </c>
      <c r="G22" s="1" t="s">
        <v>39</v>
      </c>
      <c r="H22" s="2" t="s">
        <v>29</v>
      </c>
      <c r="I22" s="49">
        <v>0</v>
      </c>
      <c r="J22" s="49"/>
      <c r="M22" s="14"/>
    </row>
    <row r="23" spans="2:13" x14ac:dyDescent="0.25">
      <c r="C23" s="11" t="s">
        <v>46</v>
      </c>
      <c r="D23" s="11"/>
      <c r="E23" s="11"/>
      <c r="F23" s="11"/>
      <c r="G23" s="11"/>
      <c r="I23" s="49"/>
      <c r="J23" s="49"/>
      <c r="K23" s="11"/>
      <c r="M23" s="15"/>
    </row>
    <row r="24" spans="2:13" x14ac:dyDescent="0.25">
      <c r="C24" s="42" t="s">
        <v>45</v>
      </c>
      <c r="D24" s="42"/>
      <c r="E24" s="12" t="s">
        <v>38</v>
      </c>
      <c r="F24" s="8">
        <v>0</v>
      </c>
      <c r="G24" s="1" t="s">
        <v>47</v>
      </c>
      <c r="H24" s="2" t="s">
        <v>29</v>
      </c>
      <c r="I24" s="49">
        <v>0</v>
      </c>
      <c r="J24" s="49"/>
      <c r="M24" s="14"/>
    </row>
    <row r="25" spans="2:13" x14ac:dyDescent="0.25">
      <c r="C25" s="42" t="s">
        <v>48</v>
      </c>
      <c r="D25" s="42"/>
      <c r="E25" s="12" t="s">
        <v>38</v>
      </c>
      <c r="F25" s="8">
        <v>0</v>
      </c>
      <c r="G25" s="1" t="s">
        <v>47</v>
      </c>
      <c r="H25" s="2" t="s">
        <v>29</v>
      </c>
      <c r="I25" s="49">
        <v>0</v>
      </c>
      <c r="J25" s="49"/>
      <c r="M25" s="14"/>
    </row>
    <row r="26" spans="2:13" x14ac:dyDescent="0.25">
      <c r="C26" s="42" t="s">
        <v>49</v>
      </c>
      <c r="D26" s="42"/>
      <c r="E26" s="12" t="s">
        <v>38</v>
      </c>
      <c r="F26" s="8">
        <v>0</v>
      </c>
      <c r="G26" s="1" t="s">
        <v>47</v>
      </c>
      <c r="H26" s="2" t="s">
        <v>29</v>
      </c>
      <c r="I26" s="49">
        <v>0</v>
      </c>
      <c r="J26" s="49"/>
      <c r="M26" s="14"/>
    </row>
    <row r="27" spans="2:13" x14ac:dyDescent="0.25">
      <c r="C27" s="42" t="s">
        <v>50</v>
      </c>
      <c r="D27" s="42"/>
      <c r="E27" s="12" t="s">
        <v>38</v>
      </c>
      <c r="F27" s="8">
        <v>0</v>
      </c>
      <c r="G27" s="1" t="s">
        <v>47</v>
      </c>
      <c r="H27" s="2" t="s">
        <v>29</v>
      </c>
      <c r="I27" s="49">
        <v>0</v>
      </c>
      <c r="J27" s="49"/>
      <c r="M27" s="14"/>
    </row>
    <row r="28" spans="2:13" x14ac:dyDescent="0.25">
      <c r="C28" s="11" t="s">
        <v>51</v>
      </c>
      <c r="D28" s="11"/>
      <c r="E28" s="11"/>
      <c r="F28" s="11"/>
      <c r="G28" s="11"/>
      <c r="H28" s="6"/>
      <c r="I28" s="11"/>
      <c r="J28" s="11"/>
      <c r="K28" s="11"/>
      <c r="L28" s="15"/>
      <c r="M28" s="15"/>
    </row>
    <row r="29" spans="2:13" ht="16.5" thickBot="1" x14ac:dyDescent="0.3">
      <c r="C29" s="1" t="s">
        <v>52</v>
      </c>
      <c r="H29" s="2" t="s">
        <v>29</v>
      </c>
      <c r="I29" s="50">
        <v>0</v>
      </c>
      <c r="J29" s="50"/>
      <c r="L29" s="51"/>
      <c r="M29" s="51"/>
    </row>
    <row r="30" spans="2:13" x14ac:dyDescent="0.25">
      <c r="H30" s="2" t="s">
        <v>29</v>
      </c>
      <c r="I30" s="52">
        <f>SUM(I16:J29)</f>
        <v>0</v>
      </c>
      <c r="J30" s="52"/>
      <c r="L30" s="16"/>
      <c r="M30" s="16"/>
    </row>
    <row r="31" spans="2:13" x14ac:dyDescent="0.25">
      <c r="B31" s="42" t="s">
        <v>53</v>
      </c>
      <c r="C31" s="42"/>
      <c r="D31" s="42"/>
      <c r="E31" s="42"/>
      <c r="F31" s="42"/>
      <c r="G31" s="42"/>
      <c r="H31" s="42"/>
      <c r="I31" s="42"/>
      <c r="J31" s="42"/>
      <c r="K31" s="1" t="s">
        <v>29</v>
      </c>
      <c r="L31" s="49">
        <f>L12+L13</f>
        <v>350276263</v>
      </c>
      <c r="M31" s="49"/>
    </row>
    <row r="32" spans="2:13" x14ac:dyDescent="0.25">
      <c r="B32" s="42" t="s">
        <v>54</v>
      </c>
      <c r="C32" s="42"/>
      <c r="D32" s="42"/>
      <c r="E32" s="42"/>
      <c r="F32" s="42"/>
      <c r="G32" s="42"/>
      <c r="H32" s="42"/>
      <c r="I32" s="42"/>
      <c r="J32" s="42"/>
      <c r="K32" s="11" t="s">
        <v>29</v>
      </c>
      <c r="L32" s="48">
        <f>L10-L31</f>
        <v>0</v>
      </c>
      <c r="M32" s="48"/>
    </row>
    <row r="33" spans="2:13" x14ac:dyDescent="0.25">
      <c r="B33" s="11" t="s">
        <v>55</v>
      </c>
      <c r="C33" s="11"/>
      <c r="D33" s="11"/>
      <c r="E33" s="11"/>
      <c r="F33" s="11"/>
      <c r="G33" s="11"/>
      <c r="H33" s="6"/>
      <c r="I33" s="11"/>
      <c r="J33" s="11"/>
      <c r="K33" s="11"/>
      <c r="L33" s="15"/>
      <c r="M33" s="15"/>
    </row>
    <row r="34" spans="2:13" ht="15.75" customHeight="1" x14ac:dyDescent="0.25">
      <c r="B34" s="47" t="s">
        <v>56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</row>
    <row r="35" spans="2:13" ht="32.25" customHeight="1" x14ac:dyDescent="0.25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spans="2:13" x14ac:dyDescent="0.25">
      <c r="J36" s="39" t="s">
        <v>78</v>
      </c>
      <c r="K36" s="39"/>
      <c r="L36" s="39"/>
      <c r="M36" s="39"/>
    </row>
    <row r="37" spans="2:13" x14ac:dyDescent="0.25">
      <c r="B37" s="39" t="s">
        <v>57</v>
      </c>
      <c r="C37" s="39"/>
      <c r="D37" s="39"/>
      <c r="E37" s="39"/>
    </row>
    <row r="38" spans="2:13" x14ac:dyDescent="0.25">
      <c r="B38" s="39" t="s">
        <v>58</v>
      </c>
      <c r="C38" s="39"/>
      <c r="D38" s="39"/>
      <c r="E38" s="39"/>
      <c r="J38" s="39" t="s">
        <v>59</v>
      </c>
      <c r="K38" s="39"/>
      <c r="L38" s="39"/>
      <c r="M38" s="39"/>
    </row>
    <row r="39" spans="2:13" x14ac:dyDescent="0.25">
      <c r="B39" s="39"/>
      <c r="C39" s="39"/>
      <c r="D39" s="39"/>
      <c r="E39" s="39"/>
      <c r="J39" s="39"/>
      <c r="K39" s="39"/>
      <c r="L39" s="39"/>
      <c r="M39" s="39"/>
    </row>
    <row r="42" spans="2:13" x14ac:dyDescent="0.25">
      <c r="B42" s="40" t="s">
        <v>60</v>
      </c>
      <c r="C42" s="40"/>
      <c r="D42" s="40"/>
      <c r="E42" s="40"/>
      <c r="J42" s="40" t="s">
        <v>26</v>
      </c>
      <c r="K42" s="40"/>
      <c r="L42" s="39"/>
      <c r="M42" s="39"/>
    </row>
  </sheetData>
  <mergeCells count="63">
    <mergeCell ref="C8:E8"/>
    <mergeCell ref="G8:J8"/>
    <mergeCell ref="L8:M8"/>
    <mergeCell ref="B1:M1"/>
    <mergeCell ref="B2:M2"/>
    <mergeCell ref="B4:E4"/>
    <mergeCell ref="G4:M4"/>
    <mergeCell ref="B5:E5"/>
    <mergeCell ref="G5:M5"/>
    <mergeCell ref="B6:E6"/>
    <mergeCell ref="G6:M6"/>
    <mergeCell ref="B7:E7"/>
    <mergeCell ref="G7:J7"/>
    <mergeCell ref="L7:M7"/>
    <mergeCell ref="C17:D17"/>
    <mergeCell ref="I17:J17"/>
    <mergeCell ref="C9:E9"/>
    <mergeCell ref="G9:J9"/>
    <mergeCell ref="L9:M9"/>
    <mergeCell ref="C10:E10"/>
    <mergeCell ref="L10:M10"/>
    <mergeCell ref="B12:E12"/>
    <mergeCell ref="L12:M12"/>
    <mergeCell ref="B13:E13"/>
    <mergeCell ref="L13:M13"/>
    <mergeCell ref="B14:E14"/>
    <mergeCell ref="C16:D16"/>
    <mergeCell ref="I16:J16"/>
    <mergeCell ref="C24:D24"/>
    <mergeCell ref="I24:J24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I23:J23"/>
    <mergeCell ref="B32:J32"/>
    <mergeCell ref="L32:M32"/>
    <mergeCell ref="C25:D25"/>
    <mergeCell ref="I25:J25"/>
    <mergeCell ref="C26:D26"/>
    <mergeCell ref="I26:J26"/>
    <mergeCell ref="C27:D27"/>
    <mergeCell ref="I27:J27"/>
    <mergeCell ref="I29:J29"/>
    <mergeCell ref="L29:M29"/>
    <mergeCell ref="I30:J30"/>
    <mergeCell ref="B31:J31"/>
    <mergeCell ref="L31:M31"/>
    <mergeCell ref="B42:E42"/>
    <mergeCell ref="J42:M42"/>
    <mergeCell ref="B34:M35"/>
    <mergeCell ref="J36:M36"/>
    <mergeCell ref="B37:E37"/>
    <mergeCell ref="B38:E38"/>
    <mergeCell ref="J38:M38"/>
    <mergeCell ref="B39:E39"/>
    <mergeCell ref="J39:M39"/>
  </mergeCells>
  <pageMargins left="0.70866141732283472" right="0.39370078740157483" top="0.74803149606299213" bottom="0.74803149606299213" header="0.31496062992125984" footer="0.31496062992125984"/>
  <pageSetup paperSize="5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Silpa</vt:lpstr>
      <vt:lpstr>BA</vt:lpstr>
      <vt:lpstr>REG</vt:lpstr>
      <vt:lpstr>BA!Print_Area</vt:lpstr>
      <vt:lpstr>Silpa!Print_Area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2026-01-24T09:33:28Z</dcterms:modified>
</cp:coreProperties>
</file>