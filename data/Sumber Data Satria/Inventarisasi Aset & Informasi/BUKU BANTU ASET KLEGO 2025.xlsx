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FILE 2026\LAPORAN PERTANGGUNGJAWABAN APBDesa TA 2025\DESA KLEGO ASET\ASAET DESA KLEGO 2025\"/>
    </mc:Choice>
  </mc:AlternateContent>
  <bookViews>
    <workbookView xWindow="0" yWindow="0" windowWidth="18075" windowHeight="7755" tabRatio="764" activeTab="3"/>
  </bookViews>
  <sheets>
    <sheet name="Tanah" sheetId="2" r:id="rId1"/>
    <sheet name="Peralatan Mesin" sheetId="3" r:id="rId2"/>
    <sheet name="Gedung Bangunan" sheetId="7" r:id="rId3"/>
    <sheet name="Jalan Jembatan Irigasi" sheetId="4" r:id="rId4"/>
    <sheet name="Aset Tetap Lainnya" sheetId="5" r:id="rId5"/>
    <sheet name="Rekap Aset Tetap" sheetId="6" r:id="rId6"/>
    <sheet name="RincianSiskeu" sheetId="1" r:id="rId7"/>
  </sheets>
  <definedNames>
    <definedName name="_xlnm._FilterDatabase" localSheetId="2" hidden="1">'Gedung Bangunan'!$S$1:$S$79</definedName>
    <definedName name="_xlnm._FilterDatabase" localSheetId="3" hidden="1">'Jalan Jembatan Irigasi'!$A$11:$AD$65</definedName>
    <definedName name="_xlnm._FilterDatabase" localSheetId="1" hidden="1">'Peralatan Mesin'!$A$12:$W$57</definedName>
    <definedName name="_xlnm._FilterDatabase" localSheetId="0" hidden="1">Tanah!$K$2:$K$112</definedName>
    <definedName name="_xlnm.Print_Area" localSheetId="4">'Aset Tetap Lainnya'!$A$1:$S$59</definedName>
    <definedName name="_xlnm.Print_Area" localSheetId="2">'Gedung Bangunan'!$A$1:$S$78</definedName>
    <definedName name="_xlnm.Print_Area" localSheetId="3">'Jalan Jembatan Irigasi'!$A$1:$T$207</definedName>
    <definedName name="_xlnm.Print_Area" localSheetId="1">'Peralatan Mesin'!$A$1:$S$125</definedName>
    <definedName name="_xlnm.Print_Area" localSheetId="5">'Rekap Aset Tetap'!$A$1:$AB$26</definedName>
    <definedName name="_xlnm.Print_Area" localSheetId="6">RincianSiskeu!$A$1:$E$105</definedName>
  </definedNames>
  <calcPr calcId="152511"/>
</workbook>
</file>

<file path=xl/calcChain.xml><?xml version="1.0" encoding="utf-8"?>
<calcChain xmlns="http://schemas.openxmlformats.org/spreadsheetml/2006/main">
  <c r="D93" i="1" l="1"/>
  <c r="D72" i="1"/>
  <c r="D65" i="1"/>
  <c r="U160" i="4"/>
  <c r="D47" i="1"/>
  <c r="D19" i="1"/>
  <c r="Z14" i="6"/>
  <c r="Z13" i="6"/>
  <c r="Z12" i="6"/>
  <c r="Z26" i="6"/>
  <c r="Z22" i="6"/>
  <c r="Z21" i="6"/>
  <c r="AA19" i="6"/>
  <c r="Y17" i="6"/>
  <c r="AB17" i="6" s="1"/>
  <c r="Y16" i="6"/>
  <c r="AB16" i="6" s="1"/>
  <c r="Y15" i="6"/>
  <c r="AB15" i="6" s="1"/>
  <c r="Y14" i="6"/>
  <c r="AB14" i="6" s="1"/>
  <c r="AB13" i="6"/>
  <c r="Y13" i="6"/>
  <c r="Z19" i="6"/>
  <c r="Y12" i="6"/>
  <c r="Y11" i="6"/>
  <c r="AB11" i="6" s="1"/>
  <c r="Q198" i="4"/>
  <c r="Q211" i="4" s="1"/>
  <c r="Q197" i="4"/>
  <c r="Q210" i="4"/>
  <c r="P68" i="7"/>
  <c r="P67" i="7"/>
  <c r="P117" i="3"/>
  <c r="P115" i="3"/>
  <c r="AB12" i="6" l="1"/>
  <c r="AB19" i="6" s="1"/>
  <c r="Y19" i="6"/>
  <c r="P60" i="7"/>
  <c r="D20" i="1" l="1"/>
  <c r="Q173" i="4"/>
  <c r="V14" i="6" s="1"/>
  <c r="X15" i="6" l="1"/>
  <c r="X16" i="6"/>
  <c r="X17" i="6"/>
  <c r="X11" i="6"/>
  <c r="W19" i="6"/>
  <c r="U16" i="6"/>
  <c r="U17" i="6"/>
  <c r="U15" i="6"/>
  <c r="U11" i="6"/>
  <c r="Q11" i="6"/>
  <c r="P100" i="3" l="1"/>
  <c r="P107" i="3"/>
  <c r="V12" i="6" s="1"/>
  <c r="V19" i="6" s="1"/>
  <c r="Q159" i="4" l="1"/>
  <c r="H157" i="4"/>
  <c r="G157" i="4"/>
  <c r="D34" i="1" l="1"/>
  <c r="T17" i="6"/>
  <c r="T16" i="6"/>
  <c r="R15" i="6"/>
  <c r="P48" i="5"/>
  <c r="T45" i="5"/>
  <c r="P53" i="7"/>
  <c r="R12" i="6"/>
  <c r="P119" i="3"/>
  <c r="B121" i="3"/>
  <c r="R14" i="6" l="1"/>
  <c r="R19" i="6" s="1"/>
  <c r="P93" i="3"/>
  <c r="D74" i="1" l="1"/>
  <c r="V136" i="4"/>
  <c r="Q143" i="4"/>
  <c r="D18" i="1" l="1"/>
  <c r="D92" i="1" l="1"/>
  <c r="D45" i="1"/>
  <c r="D61" i="1"/>
  <c r="P45" i="7" l="1"/>
  <c r="N13" i="6" l="1"/>
  <c r="P17" i="6"/>
  <c r="P16" i="6"/>
  <c r="P44" i="5"/>
  <c r="N15" i="6" l="1"/>
  <c r="N14" i="6"/>
  <c r="P94" i="3"/>
  <c r="N12" i="6" l="1"/>
  <c r="N19" i="6" l="1"/>
  <c r="D82" i="1"/>
  <c r="D24" i="1" l="1"/>
  <c r="P87" i="3"/>
  <c r="D67" i="1" l="1"/>
  <c r="P30" i="7" l="1"/>
  <c r="J13" i="6"/>
  <c r="L16" i="6"/>
  <c r="L17" i="6"/>
  <c r="P40" i="5"/>
  <c r="J15" i="6" s="1"/>
  <c r="X15" i="7" l="1"/>
  <c r="D39" i="1"/>
  <c r="Q130" i="4"/>
  <c r="J14" i="6" l="1"/>
  <c r="J12" i="6"/>
  <c r="J19" i="6" l="1"/>
  <c r="P82" i="3"/>
  <c r="H19" i="6" l="1"/>
  <c r="P37" i="5"/>
  <c r="G15" i="6" s="1"/>
  <c r="Q106" i="4" l="1"/>
  <c r="G14" i="6" s="1"/>
  <c r="J104" i="4"/>
  <c r="J103" i="4"/>
  <c r="J102" i="4"/>
  <c r="J101" i="4"/>
  <c r="J100" i="4"/>
  <c r="J99" i="4"/>
  <c r="J98" i="4"/>
  <c r="J97" i="4"/>
  <c r="J96" i="4"/>
  <c r="A96" i="4"/>
  <c r="A97" i="4" s="1"/>
  <c r="A98" i="4" s="1"/>
  <c r="A99" i="4" s="1"/>
  <c r="A100" i="4" s="1"/>
  <c r="A101" i="4" s="1"/>
  <c r="A102" i="4" s="1"/>
  <c r="A103" i="4" s="1"/>
  <c r="A104" i="4" s="1"/>
  <c r="J95" i="4"/>
  <c r="J94" i="4"/>
  <c r="P32" i="7" l="1"/>
  <c r="A29" i="7"/>
  <c r="A30" i="7" s="1"/>
  <c r="A78" i="3"/>
  <c r="A79" i="3" s="1"/>
  <c r="G13" i="6" l="1"/>
  <c r="G12" i="6"/>
  <c r="G19" i="6" l="1"/>
  <c r="Q90" i="4"/>
  <c r="D60" i="1" l="1"/>
  <c r="P26" i="7"/>
  <c r="J79" i="4" l="1"/>
  <c r="J44" i="4" l="1"/>
  <c r="J43" i="4"/>
  <c r="J42" i="4"/>
  <c r="J41" i="4"/>
  <c r="J40" i="4"/>
  <c r="J45" i="4"/>
  <c r="E5" i="4"/>
  <c r="E6" i="4"/>
  <c r="E7" i="4"/>
  <c r="E4" i="4"/>
  <c r="P73" i="3" l="1"/>
  <c r="D86" i="1" l="1"/>
  <c r="P21" i="5"/>
  <c r="D89" i="1"/>
  <c r="Q65" i="4"/>
  <c r="D66" i="1"/>
  <c r="D64" i="1" s="1"/>
  <c r="D49" i="1"/>
  <c r="D46" i="1"/>
  <c r="D44" i="1"/>
  <c r="D26" i="1"/>
  <c r="D17" i="1"/>
  <c r="D38" i="1" l="1"/>
  <c r="Q91" i="4"/>
  <c r="Q144" i="4"/>
  <c r="Q160" i="4" s="1"/>
  <c r="J53" i="4"/>
  <c r="J52" i="4"/>
  <c r="J51" i="4"/>
  <c r="J50" i="4"/>
  <c r="J49" i="4"/>
  <c r="J48" i="4"/>
  <c r="J47" i="4"/>
  <c r="J46" i="4"/>
  <c r="J39" i="4"/>
  <c r="J38" i="4"/>
  <c r="J37" i="4"/>
  <c r="J36" i="4"/>
  <c r="J23" i="4"/>
  <c r="J22" i="4"/>
  <c r="J21" i="4"/>
  <c r="J20" i="4"/>
  <c r="J19" i="4"/>
  <c r="J18" i="4"/>
  <c r="J13" i="4"/>
  <c r="J14" i="4"/>
  <c r="J15" i="4"/>
  <c r="J16" i="4"/>
  <c r="J17" i="4"/>
  <c r="J24" i="4"/>
  <c r="J25" i="4"/>
  <c r="J26" i="4"/>
  <c r="J12" i="4"/>
  <c r="Q174" i="4" l="1"/>
  <c r="J69" i="4"/>
  <c r="J70" i="4"/>
  <c r="J71" i="4"/>
  <c r="J72" i="4"/>
  <c r="J73" i="4"/>
  <c r="J74" i="4"/>
  <c r="J75" i="4"/>
  <c r="J76" i="4"/>
  <c r="J77" i="4"/>
  <c r="J78" i="4"/>
  <c r="J80" i="4"/>
  <c r="J81" i="4"/>
  <c r="J82" i="4"/>
  <c r="J83" i="4"/>
  <c r="J68" i="4"/>
  <c r="J28" i="4"/>
  <c r="J29" i="4"/>
  <c r="J30" i="4"/>
  <c r="J31" i="4"/>
  <c r="J32" i="4"/>
  <c r="J33" i="4"/>
  <c r="J34" i="4"/>
  <c r="J35" i="4"/>
  <c r="J54" i="4"/>
  <c r="J55" i="4"/>
  <c r="J56" i="4"/>
  <c r="J57" i="4"/>
  <c r="J58" i="4"/>
  <c r="J59" i="4"/>
  <c r="J60" i="4"/>
  <c r="J61" i="4"/>
  <c r="J62" i="4"/>
  <c r="J63" i="4"/>
  <c r="J64" i="4"/>
  <c r="J27" i="4"/>
  <c r="C15" i="6"/>
  <c r="C14" i="6"/>
  <c r="B125" i="3" l="1"/>
  <c r="E78" i="7" s="1"/>
  <c r="E74" i="7"/>
  <c r="P125" i="3"/>
  <c r="P78" i="7" s="1"/>
  <c r="P72" i="7"/>
  <c r="A13" i="7"/>
  <c r="A14" i="7" s="1"/>
  <c r="A15" i="7" s="1"/>
  <c r="A16" i="7" s="1"/>
  <c r="A17" i="7" s="1"/>
  <c r="A18" i="7" s="1"/>
  <c r="A19" i="7" s="1"/>
  <c r="A20" i="7" s="1"/>
  <c r="N15" i="2"/>
  <c r="C202" i="4" l="1"/>
  <c r="C55" i="5" s="1"/>
  <c r="V22" i="6" s="1"/>
  <c r="Q206" i="4"/>
  <c r="Q59" i="5" s="1"/>
  <c r="C206" i="4"/>
  <c r="C59" i="5" s="1"/>
  <c r="V26" i="6" s="1"/>
  <c r="Q200" i="4"/>
  <c r="Q53" i="5" s="1"/>
  <c r="V21" i="6" s="1"/>
  <c r="A24" i="7"/>
  <c r="A25" i="7" s="1"/>
  <c r="A13" i="5"/>
  <c r="A14" i="5" s="1"/>
  <c r="A15" i="5" s="1"/>
  <c r="A16" i="5" s="1"/>
  <c r="A17" i="5" s="1"/>
  <c r="A18" i="5" s="1"/>
  <c r="A19" i="5" s="1"/>
  <c r="A20" i="5" s="1"/>
  <c r="A24" i="5" s="1"/>
  <c r="A25" i="5" s="1"/>
  <c r="A26" i="5" s="1"/>
  <c r="A27" i="5" s="1"/>
  <c r="A28" i="5" s="1"/>
  <c r="A29" i="5" s="1"/>
  <c r="A30" i="5" s="1"/>
  <c r="A31" i="5" s="1"/>
  <c r="A35" i="5" s="1"/>
  <c r="A14" i="2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70" i="4" l="1"/>
  <c r="A71" i="4" s="1"/>
  <c r="A72" i="4" s="1"/>
  <c r="A25" i="2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D14" i="6"/>
  <c r="A73" i="4" l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36" i="2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D12" i="6"/>
  <c r="A67" i="3"/>
  <c r="P63" i="3"/>
  <c r="A14" i="3"/>
  <c r="A15" i="3" s="1"/>
  <c r="A16" i="3" s="1"/>
  <c r="A17" i="3" s="1"/>
  <c r="A18" i="3" s="1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16" i="2"/>
  <c r="N13" i="2"/>
  <c r="C12" i="6" l="1"/>
  <c r="P74" i="3"/>
  <c r="P89" i="3" s="1"/>
  <c r="P96" i="3" s="1"/>
  <c r="P102" i="3" s="1"/>
  <c r="P109" i="3" s="1"/>
  <c r="D14" i="1"/>
  <c r="A58" i="2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57" i="2"/>
  <c r="D4" i="1"/>
  <c r="D16" i="1"/>
  <c r="A19" i="3"/>
  <c r="A20" i="3" l="1"/>
  <c r="A21" i="3" s="1"/>
  <c r="A22" i="3" s="1"/>
  <c r="A23" i="3" s="1"/>
  <c r="N14" i="2"/>
  <c r="D5" i="1" s="1"/>
  <c r="A24" i="3" l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D2" i="1"/>
  <c r="D13" i="6" l="1"/>
  <c r="P21" i="7"/>
  <c r="P46" i="7" s="1"/>
  <c r="P54" i="7" s="1"/>
  <c r="P61" i="7" s="1"/>
  <c r="C13" i="6" l="1"/>
  <c r="F13" i="6" s="1"/>
  <c r="I13" i="6" s="1"/>
  <c r="M13" i="6" s="1"/>
  <c r="E19" i="6"/>
  <c r="F17" i="6"/>
  <c r="F16" i="6"/>
  <c r="F14" i="6"/>
  <c r="I14" i="6" s="1"/>
  <c r="M14" i="6" s="1"/>
  <c r="Q14" i="6" s="1"/>
  <c r="U14" i="6" s="1"/>
  <c r="X14" i="6" s="1"/>
  <c r="F12" i="6"/>
  <c r="I12" i="6" s="1"/>
  <c r="P32" i="5"/>
  <c r="P13" i="6" l="1"/>
  <c r="Q13" i="6"/>
  <c r="T14" i="6"/>
  <c r="L12" i="6"/>
  <c r="M12" i="6"/>
  <c r="L14" i="6"/>
  <c r="D85" i="1"/>
  <c r="D95" i="1" s="1"/>
  <c r="P45" i="5"/>
  <c r="P49" i="5" s="1"/>
  <c r="L13" i="6"/>
  <c r="D15" i="6"/>
  <c r="N92" i="2"/>
  <c r="C11" i="6" s="1"/>
  <c r="T13" i="6" l="1"/>
  <c r="U13" i="6"/>
  <c r="X13" i="6" s="1"/>
  <c r="P12" i="6"/>
  <c r="Q12" i="6"/>
  <c r="P14" i="6"/>
  <c r="D19" i="6"/>
  <c r="F15" i="6"/>
  <c r="I15" i="6" s="1"/>
  <c r="M15" i="6" s="1"/>
  <c r="C19" i="6"/>
  <c r="F11" i="6"/>
  <c r="T12" i="6" l="1"/>
  <c r="T19" i="6" s="1"/>
  <c r="Q19" i="6"/>
  <c r="U12" i="6"/>
  <c r="I11" i="6"/>
  <c r="M11" i="6" s="1"/>
  <c r="P15" i="6"/>
  <c r="Q15" i="6"/>
  <c r="T15" i="6" s="1"/>
  <c r="L15" i="6"/>
  <c r="I19" i="6"/>
  <c r="F19" i="6"/>
  <c r="X12" i="6" l="1"/>
  <c r="X19" i="6" s="1"/>
  <c r="U19" i="6"/>
  <c r="P11" i="6"/>
  <c r="P19" i="6" s="1"/>
  <c r="M19" i="6"/>
  <c r="L11" i="6"/>
  <c r="L19" i="6" s="1"/>
  <c r="T11" i="6" l="1"/>
</calcChain>
</file>

<file path=xl/comments1.xml><?xml version="1.0" encoding="utf-8"?>
<comments xmlns="http://schemas.openxmlformats.org/spreadsheetml/2006/main">
  <authors>
    <author>User</author>
  </authors>
  <commentList>
    <comment ref="B1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Yang tahun perolehan 2019 disendirikan di kolom bawah
ket : dari anggaran / hibah (harus ada serah terima barang)
NMAX = disesuaikan dengan NPHD (menunggu konfirm dr pak SUR)
PC Touch Screen 2pcs = sumber dananya dr mana? Kalau dr DD tdk boleh utk Opr kantor</t>
        </r>
      </text>
    </comment>
  </commentList>
</comments>
</file>

<file path=xl/comments2.xml><?xml version="1.0" encoding="utf-8"?>
<comments xmlns="http://schemas.openxmlformats.org/spreadsheetml/2006/main">
  <authors>
    <author>HP</author>
  </authors>
  <commentList>
    <comment ref="F1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NILAI HARUS SAMA DENGAN ANGKA TOTRAL SHEET TANAH</t>
        </r>
      </text>
    </comment>
    <comment ref="F1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NILAI HARUS SAMA DENGAN TOTAL SHEET PERALATAN MESIN</t>
        </r>
      </text>
    </comment>
    <comment ref="F13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NILAI HARUS SAMA DENGAN TOTAL SHEET GEDUNG BANGUNAN</t>
        </r>
      </text>
    </comment>
    <comment ref="F14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NILAI HARUS SAMA DENGA TOTAL SHEET JALAN JEMBATAN IRIGASI</t>
        </r>
      </text>
    </comment>
    <comment ref="F15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NILAI HARUS SAMA DENGAN TOTAL SHEET ASET TETAP LAINNYA</t>
        </r>
      </text>
    </comment>
    <comment ref="D19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TOTAL HARUS SAMA DENGAN BELANJA MODAL DI LRA 2019
</t>
        </r>
      </text>
    </comment>
    <comment ref="F19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TOTAL HARUS SAMA DENGAN JUMLAH ASET TETAP DI SHEET RINCIAN SISKEU</t>
        </r>
      </text>
    </comment>
  </commentList>
</comments>
</file>

<file path=xl/comments3.xml><?xml version="1.0" encoding="utf-8"?>
<comments xmlns="http://schemas.openxmlformats.org/spreadsheetml/2006/main">
  <authors>
    <author>HP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NILAI HARUS SAMA DENGAN SHEET TANAH</t>
        </r>
      </text>
    </comment>
    <comment ref="D17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NILAI HARUS SAMA DENGAN SHEET PERALATAN MESIN
</t>
        </r>
      </text>
    </comment>
    <comment ref="D38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NILAI HARUS SAM DENGAN SHEET GEDUNG BANGUNAN</t>
        </r>
      </text>
    </comment>
    <comment ref="D64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NILAI HARUS SAM DENGAN SHEET JALAN JEMBATAN IRIGASI</t>
        </r>
      </text>
    </comment>
    <comment ref="D85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NILAI HARUS SAMA DENGAN SHEET ASET TETAP LAINNYA</t>
        </r>
      </text>
    </comment>
  </commentList>
</comments>
</file>

<file path=xl/sharedStrings.xml><?xml version="1.0" encoding="utf-8"?>
<sst xmlns="http://schemas.openxmlformats.org/spreadsheetml/2006/main" count="2558" uniqueCount="778">
  <si>
    <t>Tanah Kas Desa</t>
  </si>
  <si>
    <t>Belanja Modal Peralatan Elektronik dan Alat Studio</t>
  </si>
  <si>
    <t>Belanja Modal Peralatan Komputer</t>
  </si>
  <si>
    <t>Belanja Modal Peralatan Mebelair dan Aksesoris Ruangan</t>
  </si>
  <si>
    <t>Alat Studio, Komunikasi dan Pemencar</t>
  </si>
  <si>
    <t>Komputer</t>
  </si>
  <si>
    <t>Alat Kantor dan Rumah Tangga</t>
  </si>
  <si>
    <t>Belanja Modal Peralatan Dapur</t>
  </si>
  <si>
    <t>Belanja Modal Peralatan Alat Ukur</t>
  </si>
  <si>
    <t>Belanja Modal Peralatan Rambu-rambu/Patok Tanah</t>
  </si>
  <si>
    <t>Belanja Modal Peralatan Khusus Kesehatan</t>
  </si>
  <si>
    <t>Belanja Modal Peralatan Khusus Pertanian/Peternakan/Oerikanan</t>
  </si>
  <si>
    <t>Belanja Modal Mesin</t>
  </si>
  <si>
    <t>Alat Bengkel dan Alat Ukur</t>
  </si>
  <si>
    <t>Peralatan dan Mesin Lainnya</t>
  </si>
  <si>
    <t>Alat Pertanian dan Perikanan</t>
  </si>
  <si>
    <t>Alat Kesehatan</t>
  </si>
  <si>
    <t>Belanja Modal Pengadaan Alat-alat Besar</t>
  </si>
  <si>
    <t>Alat Besar</t>
  </si>
  <si>
    <t>Belanja Modal Alat Angkutan</t>
  </si>
  <si>
    <t>Alat Angkutan</t>
  </si>
  <si>
    <t>Belanja Modal Alat Kantor dan Rumah Tangga</t>
  </si>
  <si>
    <t>Belanja Modal Alat Pengeboran</t>
  </si>
  <si>
    <t>Alat Pengeboran</t>
  </si>
  <si>
    <t>Belanja Modal Peralatan Olah Raga</t>
  </si>
  <si>
    <t>Peralatan Olah Raga</t>
  </si>
  <si>
    <t>Belanja Modal Alat Produksi Pengolahan dan Pemurnian</t>
  </si>
  <si>
    <t>Alat Produksi, Pengolahan dan Pemurnian</t>
  </si>
  <si>
    <t>Belanja Modal Honor Tim Pengadaan (Kendaraan)</t>
  </si>
  <si>
    <t>Belanja Modal Kendaraan Darat Bermotor</t>
  </si>
  <si>
    <t>Belanja Modal Kendaraan Darat Tidak Bermotor</t>
  </si>
  <si>
    <t>Belanja Modal Kendaraan Air Bermotor</t>
  </si>
  <si>
    <t>Belanja Modal Kendaraan Air Tidak Bermotor</t>
  </si>
  <si>
    <t>ASET PERALATAN DAN MESIN</t>
  </si>
  <si>
    <t>ASET TANAH</t>
  </si>
  <si>
    <t>ASET GEDUNG DAN BANGUNAN</t>
  </si>
  <si>
    <t>Bangunan Fasilitas Umum</t>
  </si>
  <si>
    <t>ASET JALAN, JEMBATAN DAN IRIGASI</t>
  </si>
  <si>
    <t>Jalan</t>
  </si>
  <si>
    <t>Jembatan</t>
  </si>
  <si>
    <t>Bangunan Air Irigasi</t>
  </si>
  <si>
    <t>Instalasi Lainnya</t>
  </si>
  <si>
    <t>Belanja Khusus Pendidikan dan Perpustakaan</t>
  </si>
  <si>
    <t>Belanja Khusus Olahraga</t>
  </si>
  <si>
    <t>Belanja Modal Khusus Kesenian/Kebudayaan/Keagamaan</t>
  </si>
  <si>
    <t>Belanja Modal Tumbuhan/Tanaman</t>
  </si>
  <si>
    <t>Belanja Modal Hewan</t>
  </si>
  <si>
    <t>Belanja Modal Bahan Bacaan/Buku</t>
  </si>
  <si>
    <t>Belanja Aset Tak Berwujud</t>
  </si>
  <si>
    <t>Bahan Perpustakaan</t>
  </si>
  <si>
    <t>Barang Becorak Seni, Kebudayaan dan Olahraga</t>
  </si>
  <si>
    <t>Tanaman</t>
  </si>
  <si>
    <t>Hewan dan Ternak</t>
  </si>
  <si>
    <t>Tanah Perkampungan</t>
  </si>
  <si>
    <t>Tanah Pertanian</t>
  </si>
  <si>
    <t>Tanah Perkebunan</t>
  </si>
  <si>
    <t>Tanah Hutan</t>
  </si>
  <si>
    <t>Tanah Kebun Campuran</t>
  </si>
  <si>
    <t>Tanah Kolam Ikan</t>
  </si>
  <si>
    <t>Tanah Danau/Rawa</t>
  </si>
  <si>
    <t>Tanah Tandus/Rusak</t>
  </si>
  <si>
    <t>Tanah Pertambangan</t>
  </si>
  <si>
    <t>Tanah Penggunaan Lainnya</t>
  </si>
  <si>
    <t>Tanah untuk Bangunan Bukan Gedung</t>
  </si>
  <si>
    <t>Bangunan Gedung Kantor</t>
  </si>
  <si>
    <t>Bangunan Gudang</t>
  </si>
  <si>
    <t>Bangunan Gedung Bengkel</t>
  </si>
  <si>
    <t>Bangunan Gedung Instalasi</t>
  </si>
  <si>
    <t>Bangunan Gedung Laboratorium,</t>
  </si>
  <si>
    <t>Bangunan Kesehatan</t>
  </si>
  <si>
    <t>Bangunan Gedung Tempat Ibadah</t>
  </si>
  <si>
    <t>Bangunan Gedung Pertemuan</t>
  </si>
  <si>
    <t xml:space="preserve">Bangunan Gedung Tempat Pendidikan </t>
  </si>
  <si>
    <t>Banguna  Gedung Tempat Olah Raga</t>
  </si>
  <si>
    <t>Bangunan Gedung Pertokoan/Koperasi/Pasar</t>
  </si>
  <si>
    <t>Bangunan Gedung Garasi/Pool</t>
  </si>
  <si>
    <t>Bangunan Gedung Pemotongan Hewan</t>
  </si>
  <si>
    <t>Bangunan Gedung Perpustakaan</t>
  </si>
  <si>
    <t>Bangunan Gedung Museum</t>
  </si>
  <si>
    <t>Bangunan Gedung Terminal/Pelabuhan</t>
  </si>
  <si>
    <t>Bangunan Gedung Terbuka</t>
  </si>
  <si>
    <t>Bangunan Gedung Penampungan Sekam</t>
  </si>
  <si>
    <t>Bangunan Gedung Tempat Pelelangan Ikan</t>
  </si>
  <si>
    <t>Bangunan Industri</t>
  </si>
  <si>
    <t>Bangunan Peternakan/Perikanan</t>
  </si>
  <si>
    <t>Bangunan Parkir</t>
  </si>
  <si>
    <t>Bangunan Taman</t>
  </si>
  <si>
    <t>Bangunan Gedung Tempat Kerja Lainnya</t>
  </si>
  <si>
    <t>Bangunan Pengairan Pasang Surut</t>
  </si>
  <si>
    <t>Bangunan Pengembangan Rawa</t>
  </si>
  <si>
    <t>Bangunan Pengamanan Sungai dan Pantai</t>
  </si>
  <si>
    <t>Bangunan Pengembangan Sumber Air dan Air Tanah</t>
  </si>
  <si>
    <t>Bangunan Air Bersih dan Air Baku</t>
  </si>
  <si>
    <t>Bangunan Air Kotor</t>
  </si>
  <si>
    <t>Instalasi Air Bersih/Air Baku</t>
  </si>
  <si>
    <t>Instalasi Air Kotor</t>
  </si>
  <si>
    <t>Instalasi Pengolahan Sampah</t>
  </si>
  <si>
    <t>Instalasi Pembangkit Listrik</t>
  </si>
  <si>
    <t>Instalasi Gardu Listrik</t>
  </si>
  <si>
    <t>Instalasi Pengolahan Bahan Bangunan</t>
  </si>
  <si>
    <t>Jaringan Air Minum</t>
  </si>
  <si>
    <t>Jaringan Listrik</t>
  </si>
  <si>
    <t>Jaringan Telepon</t>
  </si>
  <si>
    <t>Jaringan Gas</t>
  </si>
  <si>
    <t xml:space="preserve">VALIDASI INVENTARIS BARANG 
TANAH </t>
  </si>
  <si>
    <t>Provinsi</t>
  </si>
  <si>
    <t>:</t>
  </si>
  <si>
    <t>Kab./Kota</t>
  </si>
  <si>
    <t xml:space="preserve">Kecamatan </t>
  </si>
  <si>
    <t>Desa</t>
  </si>
  <si>
    <t>No.</t>
  </si>
  <si>
    <t>Uraian</t>
  </si>
  <si>
    <t>N o m o r</t>
  </si>
  <si>
    <t>Luas
(M2)</t>
  </si>
  <si>
    <t>Tahun Pengadaan</t>
  </si>
  <si>
    <t>Letak/
Alamat</t>
  </si>
  <si>
    <t>Status Tanah</t>
  </si>
  <si>
    <t>Penggunaan</t>
  </si>
  <si>
    <t>Asal usul</t>
  </si>
  <si>
    <t>Harga
(ribuan Rp)</t>
  </si>
  <si>
    <t>Keterangan</t>
  </si>
  <si>
    <t>Kode Barang</t>
  </si>
  <si>
    <t>Register</t>
  </si>
  <si>
    <t>Hak</t>
  </si>
  <si>
    <t>Sertifikat</t>
  </si>
  <si>
    <t>Tanggal</t>
  </si>
  <si>
    <t>Nomor</t>
  </si>
  <si>
    <t>TANAH KAS DESA</t>
  </si>
  <si>
    <t>PAKAI</t>
  </si>
  <si>
    <t>PERTANIAN</t>
  </si>
  <si>
    <t>00021</t>
  </si>
  <si>
    <t>00029</t>
  </si>
  <si>
    <t>00030</t>
  </si>
  <si>
    <t>00031</t>
  </si>
  <si>
    <t>00032</t>
  </si>
  <si>
    <t>00033</t>
  </si>
  <si>
    <t>00034</t>
  </si>
  <si>
    <t>00036</t>
  </si>
  <si>
    <t>00039</t>
  </si>
  <si>
    <t>00040</t>
  </si>
  <si>
    <t>00041</t>
  </si>
  <si>
    <t>00042</t>
  </si>
  <si>
    <t>00043</t>
  </si>
  <si>
    <t>00044</t>
  </si>
  <si>
    <t>00046</t>
  </si>
  <si>
    <t>00047</t>
  </si>
  <si>
    <t>00048</t>
  </si>
  <si>
    <t>00049</t>
  </si>
  <si>
    <t>00051</t>
  </si>
  <si>
    <t>00052</t>
  </si>
  <si>
    <t>00053</t>
  </si>
  <si>
    <t>OO</t>
  </si>
  <si>
    <t>1063</t>
  </si>
  <si>
    <t>00072</t>
  </si>
  <si>
    <t>00073</t>
  </si>
  <si>
    <t>00074</t>
  </si>
  <si>
    <t>00075</t>
  </si>
  <si>
    <t>00076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</si>
  <si>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</si>
  <si>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</si>
  <si>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</si>
  <si>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</si>
  <si>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</si>
  <si>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</si>
  <si>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</si>
  <si>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</si>
  <si>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KANTOR DESA</t>
  </si>
  <si>
    <t>TANAH JALAN POROS DESA</t>
  </si>
  <si>
    <t>JALAN</t>
  </si>
  <si>
    <t>TANAH JALAN RT 01</t>
  </si>
  <si>
    <t>TANAH JALAN RT 02</t>
  </si>
  <si>
    <t>TANAH JALAN RT 03</t>
  </si>
  <si>
    <t>TANAH JALAN RT 04</t>
  </si>
  <si>
    <t>1042</t>
  </si>
  <si>
    <t>TANAH JALAN RT 05</t>
  </si>
  <si>
    <t>3522</t>
  </si>
  <si>
    <t>TANAH JALAN RT 06</t>
  </si>
  <si>
    <t>TANAH JALAN RT 07</t>
  </si>
  <si>
    <t>TANAH JALAN RT 08</t>
  </si>
  <si>
    <t>TANAH JALAN RT 09</t>
  </si>
  <si>
    <t>TANAH JALAN RT 10</t>
  </si>
  <si>
    <t>TANAH JALAN RT 11</t>
  </si>
  <si>
    <t>TANAH JALAN RT 12</t>
  </si>
  <si>
    <t>TANAH JALAN RT 13</t>
  </si>
  <si>
    <t>TANAH JALAN RT 14</t>
  </si>
  <si>
    <t>TANAH JALAN RT 15</t>
  </si>
  <si>
    <t>TANAH JALAN RT 16</t>
  </si>
  <si>
    <t>TANAH JALAN RT 17</t>
  </si>
  <si>
    <t>TANAH JALAN RT 18</t>
  </si>
  <si>
    <t>TANAH JALAN RT 19</t>
  </si>
  <si>
    <t>TANAH JALAN RT 20</t>
  </si>
  <si>
    <t>TANAH JALAN RT 21</t>
  </si>
  <si>
    <t>TANAH JALAN RT 22</t>
  </si>
  <si>
    <t>TANAH JALAN RT 23</t>
  </si>
  <si>
    <t>TANAH JALAN RT 24</t>
  </si>
  <si>
    <t>JUMLAH</t>
  </si>
  <si>
    <t>Mengetahui,</t>
  </si>
  <si>
    <t>Pengelola Aset Desa</t>
  </si>
  <si>
    <t>DATA HASIL INVENTARISASI INSPEKTORAT S/D 2018</t>
  </si>
  <si>
    <t>ASET TETAP LAINNYA</t>
  </si>
  <si>
    <t>ASET TAK BERWUJUD</t>
  </si>
  <si>
    <t>Jenis Barang /
Nama Barang</t>
  </si>
  <si>
    <t>Jumlah</t>
  </si>
  <si>
    <t>Merk/
Type</t>
  </si>
  <si>
    <t>Ukuran/
CC</t>
  </si>
  <si>
    <t>Bahan</t>
  </si>
  <si>
    <t>Tahun Pembelian</t>
  </si>
  <si>
    <t>Asal-
usul</t>
  </si>
  <si>
    <t>Kondisi (R,KB,RB, hilang)</t>
  </si>
  <si>
    <t>Rangka</t>
  </si>
  <si>
    <t>Mesin</t>
  </si>
  <si>
    <t>Polisi</t>
  </si>
  <si>
    <t>BPKB</t>
  </si>
  <si>
    <t>1</t>
  </si>
  <si>
    <t>2</t>
  </si>
  <si>
    <t>5</t>
  </si>
  <si>
    <t>6</t>
  </si>
  <si>
    <t>7</t>
  </si>
  <si>
    <t>8</t>
  </si>
  <si>
    <t>10</t>
  </si>
  <si>
    <t>11</t>
  </si>
  <si>
    <t>12</t>
  </si>
  <si>
    <t>13</t>
  </si>
  <si>
    <t>14</t>
  </si>
  <si>
    <t>15</t>
  </si>
  <si>
    <t>MEJA KERJA</t>
  </si>
  <si>
    <t>Kayu</t>
  </si>
  <si>
    <t>pembelian</t>
  </si>
  <si>
    <t>BAIK</t>
  </si>
  <si>
    <t>ALMARI BESAR</t>
  </si>
  <si>
    <t>TELEVISI</t>
  </si>
  <si>
    <t>campuran</t>
  </si>
  <si>
    <t>TENS</t>
  </si>
  <si>
    <t>2010</t>
  </si>
  <si>
    <t>SPIKER AKTIF</t>
  </si>
  <si>
    <t>POLYTRON</t>
  </si>
  <si>
    <t>KIPAS ANGIN</t>
  </si>
  <si>
    <t>MASPION</t>
  </si>
  <si>
    <t>SEPEDA MOTOR</t>
  </si>
  <si>
    <t>SUZUKI/ FV 110 LB</t>
  </si>
  <si>
    <t>Besi</t>
  </si>
  <si>
    <t>30-10- 2013</t>
  </si>
  <si>
    <t>KURANG BAIK</t>
  </si>
  <si>
    <t>BARANG DI GUNAKAN UNTUK OPERASIONAL KEPALA DESA</t>
  </si>
  <si>
    <t>KURSI RAPAT</t>
  </si>
  <si>
    <t>Plastik</t>
  </si>
  <si>
    <t>2015</t>
  </si>
  <si>
    <t>KOMPUTER</t>
  </si>
  <si>
    <t>SAMSUNG</t>
  </si>
  <si>
    <t>FUTURA</t>
  </si>
  <si>
    <t>KURSI HADAP</t>
  </si>
  <si>
    <t>PRINTER</t>
  </si>
  <si>
    <t>THOSIBA</t>
  </si>
  <si>
    <t>LAPTOP</t>
  </si>
  <si>
    <t>ASSUS</t>
  </si>
  <si>
    <t>PROYEKTOR</t>
  </si>
  <si>
    <t>KURSI SOFA</t>
  </si>
  <si>
    <t>2016</t>
  </si>
  <si>
    <t>ALMARI RAK BUKU</t>
  </si>
  <si>
    <t>kayu</t>
  </si>
  <si>
    <t>FILLING KABINET</t>
  </si>
  <si>
    <t>2018</t>
  </si>
  <si>
    <t>MEJA KANTOR</t>
  </si>
  <si>
    <t>JUMLAH s.d 2018</t>
  </si>
  <si>
    <t>Pembelian</t>
  </si>
  <si>
    <t>JUMLAH 2019</t>
  </si>
  <si>
    <t>TOTAL</t>
  </si>
  <si>
    <t>Tanah Alang-alang dan Padang Rumput</t>
  </si>
  <si>
    <t>Tanah Untuk Bangunan Gedung</t>
  </si>
  <si>
    <t>DI ISI SESUAI RINCIAN SISKEUDES</t>
  </si>
  <si>
    <t>……………..</t>
  </si>
  <si>
    <t>Konstruksi</t>
  </si>
  <si>
    <t>Lebar
(M)</t>
  </si>
  <si>
    <t>tinggi</t>
  </si>
  <si>
    <t>Letak 
Alamat</t>
  </si>
  <si>
    <t>Dokumen</t>
  </si>
  <si>
    <t>Status
Tanah</t>
  </si>
  <si>
    <t>Kode
Tanah</t>
  </si>
  <si>
    <t>Kondisi
(B, KB, RB)</t>
  </si>
  <si>
    <t>3</t>
  </si>
  <si>
    <t>4</t>
  </si>
  <si>
    <t>9</t>
  </si>
  <si>
    <t>16</t>
  </si>
  <si>
    <t>17</t>
  </si>
  <si>
    <t>PERMANEN</t>
  </si>
  <si>
    <t>RT 23</t>
  </si>
  <si>
    <t>RT 06</t>
  </si>
  <si>
    <t>RT 24</t>
  </si>
  <si>
    <t>RT 04</t>
  </si>
  <si>
    <t>RT 02</t>
  </si>
  <si>
    <t>RT 01</t>
  </si>
  <si>
    <t>RT 17</t>
  </si>
  <si>
    <t>RT 15</t>
  </si>
  <si>
    <t>RT 08</t>
  </si>
  <si>
    <t>RT 10</t>
  </si>
  <si>
    <t>RT 09</t>
  </si>
  <si>
    <t>RT 20</t>
  </si>
  <si>
    <t>RT 14</t>
  </si>
  <si>
    <t>BOP PROP</t>
  </si>
  <si>
    <t xml:space="preserve">VALIDASI KARTU INVENTARIS PERALATAN DAN MESIN
PERALATAN DAN MESIN (ALAT ANGKUT) </t>
  </si>
  <si>
    <t xml:space="preserve">VALIDASI  INVENTARIS JALAN, JEMBATAN DAN IRIGASI
JALAN, IRIGASI DAN JARINGAN </t>
  </si>
  <si>
    <t>…………..</t>
  </si>
  <si>
    <t>Jenis Barang /Nama Barang</t>
  </si>
  <si>
    <t>Nomor
Register</t>
  </si>
  <si>
    <t>Buku / Perpustakaan</t>
  </si>
  <si>
    <t>Barang Bercorak
Kesenian / Kebudayaan</t>
  </si>
  <si>
    <t>Hewan/Ternak
dan Tumbuhan</t>
  </si>
  <si>
    <t>Asal
usul</t>
  </si>
  <si>
    <t>Tahun Cetak / Pembelian</t>
  </si>
  <si>
    <t>Judul/
Pencipta</t>
  </si>
  <si>
    <t>Spesifikasi</t>
  </si>
  <si>
    <t xml:space="preserve">Asal
</t>
  </si>
  <si>
    <t>Pencipta</t>
  </si>
  <si>
    <t>Jenis</t>
  </si>
  <si>
    <t>Ukuran</t>
  </si>
  <si>
    <t>POHON JATI</t>
  </si>
  <si>
    <t>Buku C Desa</t>
  </si>
  <si>
    <t xml:space="preserve">VALIDASI KARTU INVENTARIS ASET TETAP LAINNYA
ASET TETAP LAINNYA </t>
  </si>
  <si>
    <t>DATA DARI BELANJA MODAL TAHUN 2019 (LAPORAN REALISASI ANGGARAN) KALAU ADA</t>
  </si>
  <si>
    <t>PENAMBAH DAN PENGURANG ASET TETAP</t>
  </si>
  <si>
    <t>NO</t>
  </si>
  <si>
    <t>URAIAN</t>
  </si>
  <si>
    <t>SALDO AWAL sampai dengan 2018 (hasil Inventarisasi)</t>
  </si>
  <si>
    <t>Tahun 2019 (sesuai LRA 2019)</t>
  </si>
  <si>
    <t xml:space="preserve"> Penambahan </t>
  </si>
  <si>
    <t xml:space="preserve"> Pengurangan </t>
  </si>
  <si>
    <t>6=3+4-5</t>
  </si>
  <si>
    <t>Tanah</t>
  </si>
  <si>
    <t>Peralatan dan Mesin</t>
  </si>
  <si>
    <t>Gedung dan Bangunan</t>
  </si>
  <si>
    <t>Jalan,Irigasi dan Jaringan</t>
  </si>
  <si>
    <t>Aset Tetap Lainnya</t>
  </si>
  <si>
    <t>Konstruksi Dalam Pengerjaan</t>
  </si>
  <si>
    <t>Akumulasi Penyusutan</t>
  </si>
  <si>
    <t>KOLOM 3</t>
  </si>
  <si>
    <t>KOLOM 4</t>
  </si>
  <si>
    <t>DI ISI JUMLAH DARI MASING-MASING SHEET ROW WARNA HIJAU</t>
  </si>
  <si>
    <t>DI ISI JUMLAH DARI MASING-MASING SHEET ROW WARNA KUNING</t>
  </si>
  <si>
    <t>Konstruksi Bangunan</t>
  </si>
  <si>
    <t>Luas
Lantai
(M2)</t>
  </si>
  <si>
    <t>Letak/Lokasi
Alamat</t>
  </si>
  <si>
    <t>Dokumen Gedung</t>
  </si>
  <si>
    <t>Kode Tanah</t>
  </si>
  <si>
    <t>Kondisi bangunan
(B,KB,RB)</t>
  </si>
  <si>
    <t>Bertingkat
/ Tidak</t>
  </si>
  <si>
    <t>Beton/
Tidak</t>
  </si>
  <si>
    <t>TIDAK</t>
  </si>
  <si>
    <t>SEMI PERMANEN</t>
  </si>
  <si>
    <t>KAS DESA</t>
  </si>
  <si>
    <t>KB</t>
  </si>
  <si>
    <t>BALE DESA</t>
  </si>
  <si>
    <t>BETON</t>
  </si>
  <si>
    <t>RB</t>
  </si>
  <si>
    <t>B</t>
  </si>
  <si>
    <t>PAGAR</t>
  </si>
  <si>
    <t>TEMPAT PARKIR</t>
  </si>
  <si>
    <t>Belanja Modal Tanah</t>
  </si>
  <si>
    <t>Belanja Modal Gedung, Bangunan, Taman</t>
  </si>
  <si>
    <t>Belanja Modal Jalan</t>
  </si>
  <si>
    <t xml:space="preserve">Belanja Modal Jembatan </t>
  </si>
  <si>
    <t xml:space="preserve">Belanja Modal Irigasi/Embung/Drainase/dll </t>
  </si>
  <si>
    <t>Belanja Modal Jaringan/Instalasi</t>
  </si>
  <si>
    <t xml:space="preserve">TOTAL </t>
  </si>
  <si>
    <t>CATATAN :</t>
  </si>
  <si>
    <t>Bila ada belanja operasional yg dikeluarkan atas pembentukan Belanja Modal yang masuk di anggaran</t>
  </si>
  <si>
    <t>dalam CaLK</t>
  </si>
  <si>
    <r>
      <t xml:space="preserve">barang dan jasa </t>
    </r>
    <r>
      <rPr>
        <b/>
        <i/>
        <sz val="11"/>
        <color theme="1"/>
        <rFont val="Calibri"/>
        <family val="2"/>
        <scheme val="minor"/>
      </rPr>
      <t xml:space="preserve">(karena kesalahan penganggaran) </t>
    </r>
    <r>
      <rPr>
        <sz val="11"/>
        <color theme="1"/>
        <rFont val="Calibri"/>
        <family val="2"/>
        <scheme val="minor"/>
      </rPr>
      <t>di tambahkan dalam Belanja Modal terkait dan perbedaan selisihnya di jelaskan</t>
    </r>
  </si>
  <si>
    <t>Aset Tidak Berwujud</t>
  </si>
  <si>
    <t>Ngembat RT 14</t>
  </si>
  <si>
    <t>Klalingan</t>
  </si>
  <si>
    <t>25-05-2019</t>
  </si>
  <si>
    <t>31-07-2019</t>
  </si>
  <si>
    <t>16-07-2019</t>
  </si>
  <si>
    <t>23-08-2019</t>
  </si>
  <si>
    <t>23-08-2019`</t>
  </si>
  <si>
    <t>04-06-2019`</t>
  </si>
  <si>
    <t>00050</t>
  </si>
  <si>
    <t>04-06-2019</t>
  </si>
  <si>
    <t>31-07-2019`</t>
  </si>
  <si>
    <t>JANSET</t>
  </si>
  <si>
    <t>PETA DESA</t>
  </si>
  <si>
    <t>KENTONGAN</t>
  </si>
  <si>
    <t>LAMBANG NEGARA (GARUDA)</t>
  </si>
  <si>
    <t>13-12-1984</t>
  </si>
  <si>
    <t>207</t>
  </si>
  <si>
    <t>18-03-1986</t>
  </si>
  <si>
    <t>;665</t>
  </si>
  <si>
    <t>03-07-1997</t>
  </si>
  <si>
    <t>19</t>
  </si>
  <si>
    <t>20-06-2007</t>
  </si>
  <si>
    <t>23-12-2008</t>
  </si>
  <si>
    <t>20</t>
  </si>
  <si>
    <t>02-04-2009</t>
  </si>
  <si>
    <t>18</t>
  </si>
  <si>
    <t>KAMERA DIGITAL</t>
  </si>
  <si>
    <t>Kepala Desa Klego</t>
  </si>
  <si>
    <t>Jawa Tengah</t>
  </si>
  <si>
    <t>Boyolali</t>
  </si>
  <si>
    <t>Klego</t>
  </si>
  <si>
    <t>KLEGO-KARANGGATAK</t>
  </si>
  <si>
    <t>KLEGO-BADE</t>
  </si>
  <si>
    <t xml:space="preserve">KARANGANYAR RT 07-KLALINGAN </t>
  </si>
  <si>
    <t>KARANGANYAR RT 08-KLALINGAN</t>
  </si>
  <si>
    <t>KLEGO-GONDANGLEGI</t>
  </si>
  <si>
    <t>NGEMBAT-KEDOKAN</t>
  </si>
  <si>
    <t>KEDOKAN-PENGKOL</t>
  </si>
  <si>
    <t>KLEGO RT 01</t>
  </si>
  <si>
    <t>KLEGO RT 02</t>
  </si>
  <si>
    <t>KLEGO RT 03</t>
  </si>
  <si>
    <t>KLEGO RT 04</t>
  </si>
  <si>
    <t>KLEGO RT 05</t>
  </si>
  <si>
    <t>KLEGO RT 06</t>
  </si>
  <si>
    <t>KARANGANYAR RT 07</t>
  </si>
  <si>
    <t>KARANGANYAR RT 08</t>
  </si>
  <si>
    <t>KARANGANYAR RT 09</t>
  </si>
  <si>
    <t>KARANGANYAR RT 10</t>
  </si>
  <si>
    <t>KARANGANYAR RT 11</t>
  </si>
  <si>
    <t>MH8BF46AADJ-114624</t>
  </si>
  <si>
    <t>AEP1-ID-114752</t>
  </si>
  <si>
    <t>AD 9705 JD</t>
  </si>
  <si>
    <t>2009</t>
  </si>
  <si>
    <t>BIG BASS</t>
  </si>
  <si>
    <t>RUSAK</t>
  </si>
  <si>
    <t>KURSI KERJA</t>
  </si>
  <si>
    <t>BROTHER</t>
  </si>
  <si>
    <t>HP</t>
  </si>
  <si>
    <t>HP 2130</t>
  </si>
  <si>
    <t>HITACHI</t>
  </si>
  <si>
    <t>ALPHA</t>
  </si>
  <si>
    <t>29"</t>
  </si>
  <si>
    <t>VCD PLAYER</t>
  </si>
  <si>
    <t>VISICOM</t>
  </si>
  <si>
    <t xml:space="preserve">Canon IP 2770 </t>
  </si>
  <si>
    <t xml:space="preserve">Canon IP 1700 </t>
  </si>
  <si>
    <t>ACCER</t>
  </si>
  <si>
    <t>TOP</t>
  </si>
  <si>
    <t>Hilang</t>
  </si>
  <si>
    <t>1986</t>
  </si>
  <si>
    <t>STABILIZER</t>
  </si>
  <si>
    <t>MATSUNAGA</t>
  </si>
  <si>
    <t xml:space="preserve"> </t>
  </si>
  <si>
    <t>PAPAN PENGUMUMAN</t>
  </si>
  <si>
    <t>NGEMBAT RT 12</t>
  </si>
  <si>
    <t>NGEMBAT RT 13</t>
  </si>
  <si>
    <t>NGEMBAT RT 14</t>
  </si>
  <si>
    <t>KEDOKAN RT 15</t>
  </si>
  <si>
    <t>KEDOKAN RT 16</t>
  </si>
  <si>
    <t>KEDOKAN RT 17</t>
  </si>
  <si>
    <t>KEDOKAN RT 18</t>
  </si>
  <si>
    <t>KEDOKAN RT 19</t>
  </si>
  <si>
    <t>KEDOKAN RT 20</t>
  </si>
  <si>
    <t>KEDOKAN RT 21</t>
  </si>
  <si>
    <t>KLALINGAN RT 22</t>
  </si>
  <si>
    <t>KLALINGAN RT 23</t>
  </si>
  <si>
    <t>KLALINGAN RT 24</t>
  </si>
  <si>
    <t>EPSON L565</t>
  </si>
  <si>
    <t>MEJA LIPAT</t>
  </si>
  <si>
    <t>2019</t>
  </si>
  <si>
    <t>MEJA RAPAT</t>
  </si>
  <si>
    <t>MEJA PING-PONG</t>
  </si>
  <si>
    <t>NAPOLLY</t>
  </si>
  <si>
    <t>MIYAKO</t>
  </si>
  <si>
    <t>MESIN KETIK</t>
  </si>
  <si>
    <t>1987</t>
  </si>
  <si>
    <t>2005</t>
  </si>
  <si>
    <t>RUNNING TEXT</t>
  </si>
  <si>
    <t>MICROPHONE</t>
  </si>
  <si>
    <t>TOA</t>
  </si>
  <si>
    <t>BINGKAI FOTO PRESIDEN DAN WAKIL PRESIDEN</t>
  </si>
  <si>
    <t>HONDA</t>
  </si>
  <si>
    <t>SPEAKER AKTIF + AMPLIFIRE</t>
  </si>
  <si>
    <t>RADIO TAPE/WIRELLES</t>
  </si>
  <si>
    <t>KOMPUTERISASI DAN PRINTER</t>
  </si>
  <si>
    <t>LENOVO TOUCHSCREEN</t>
  </si>
  <si>
    <t>MESIN ADM</t>
  </si>
  <si>
    <t>Jalan Rabat Beton Poros Desa Dukuh Klego</t>
  </si>
  <si>
    <t>Permanen</t>
  </si>
  <si>
    <t>Jalan Aspal Karanganyar</t>
  </si>
  <si>
    <t>RT 07</t>
  </si>
  <si>
    <t>Jalan Rabat Beton Poros Desa Dukuh Karanganyar  - Klalingan</t>
  </si>
  <si>
    <t>Jalan Rabat Beton Karanganyar</t>
  </si>
  <si>
    <t>RT 07 -  Klalingan</t>
  </si>
  <si>
    <t>RT 11</t>
  </si>
  <si>
    <t>Jalan Rabat Beton Klego</t>
  </si>
  <si>
    <t>Jalan Rabat Beton Klalingan</t>
  </si>
  <si>
    <t>RT 22</t>
  </si>
  <si>
    <t>RT 08 - Klalingan</t>
  </si>
  <si>
    <t>Jalan Aspal Poros Desa Dukuh Karanganyar - Klalingan</t>
  </si>
  <si>
    <t>Jalan Aspal Poros Desa Dukuh Ngembat - Kedokan</t>
  </si>
  <si>
    <t>Dusun Ngembat RT 13, 14</t>
  </si>
  <si>
    <t>Jalan Rabat Beton Poros Desa Dukuh Kedokan</t>
  </si>
  <si>
    <t>Jalan Rabat Beton Kedokan</t>
  </si>
  <si>
    <t>RT 14, 16</t>
  </si>
  <si>
    <t>Talud Jalan Klalingan</t>
  </si>
  <si>
    <t>Jalan Aspal Klego</t>
  </si>
  <si>
    <t>RT 02, 03, 04, 05, 06</t>
  </si>
  <si>
    <t>Jalan Rabat Beton Ngembat</t>
  </si>
  <si>
    <t>Jalan Pertanian RT 12</t>
  </si>
  <si>
    <t xml:space="preserve">Talud Jalan Klalingan </t>
  </si>
  <si>
    <t>Talud Jalan Karanganyar</t>
  </si>
  <si>
    <t>Makam Klego (RT 01)</t>
  </si>
  <si>
    <t>Bulu RT 01</t>
  </si>
  <si>
    <t>Jengglong RT 09</t>
  </si>
  <si>
    <t>Jalan Aspal Kedokan</t>
  </si>
  <si>
    <t>Talud Jalan Ngembat</t>
  </si>
  <si>
    <t>RT 12</t>
  </si>
  <si>
    <t>Talud Sumur Bulu</t>
  </si>
  <si>
    <t>RT 18, 19</t>
  </si>
  <si>
    <t>RT 05</t>
  </si>
  <si>
    <t>KLEGO</t>
  </si>
  <si>
    <t>Kedokan</t>
  </si>
  <si>
    <t>Kedokan RT 21</t>
  </si>
  <si>
    <t>C. 317 Ps 135 SL. V Seb</t>
  </si>
  <si>
    <t>Tanah Milik Adat</t>
  </si>
  <si>
    <t>Ngembat</t>
  </si>
  <si>
    <t>Tukar Guling</t>
  </si>
  <si>
    <t>Tanah Negara Bekas Kas Desa</t>
  </si>
  <si>
    <t>Ex Bengkok Kadus III</t>
  </si>
  <si>
    <t>Ex Bengkok Kadus IV</t>
  </si>
  <si>
    <t>C. 314 Ps. 165 Sl.I Seb</t>
  </si>
  <si>
    <t>Ex Bengkok Kades</t>
  </si>
  <si>
    <t>C. 317 Ps 131 Sl. I</t>
  </si>
  <si>
    <t>C. 1 Ps. 141a-29 S. IV Seb</t>
  </si>
  <si>
    <t>Makam</t>
  </si>
  <si>
    <t>C. 1 Ps. 142b-26 S. V</t>
  </si>
  <si>
    <t>C. 1 Ps. 142a-27 S. V</t>
  </si>
  <si>
    <t>Lapangan</t>
  </si>
  <si>
    <t>Kas Desa</t>
  </si>
  <si>
    <t>C. 1 Ps. 141b-26 S. V</t>
  </si>
  <si>
    <t>C. 319 Ps 47 SL.V Seb</t>
  </si>
  <si>
    <t>Koramil</t>
  </si>
  <si>
    <t>C. 319 Ps 92a S II Seb</t>
  </si>
  <si>
    <t>Ex Bengkok Kadus I</t>
  </si>
  <si>
    <t>Ex Bengkok Kesra</t>
  </si>
  <si>
    <t>Ex Bengkok Sekdes</t>
  </si>
  <si>
    <t>Karanganyar</t>
  </si>
  <si>
    <t>Pertanian</t>
  </si>
  <si>
    <t>C. 316 Ps. 128 Sl. I</t>
  </si>
  <si>
    <t>C. 316 Ps. 129 Sl. I</t>
  </si>
  <si>
    <t>C. 316 Ps. 130 S. I Seb</t>
  </si>
  <si>
    <t>C. 316 Ps 459 SL. I Seb</t>
  </si>
  <si>
    <t>Sekolah</t>
  </si>
  <si>
    <t>C. 319 Ps. 46 S. V</t>
  </si>
  <si>
    <t>C. 319 Ps. 44 SL.II Seb</t>
  </si>
  <si>
    <t>POHON AKASIA</t>
  </si>
  <si>
    <t>POHON BIBIS</t>
  </si>
  <si>
    <t>POHON SEMBOJA</t>
  </si>
  <si>
    <t>POHON KEPOH</t>
  </si>
  <si>
    <t>POHON KARET</t>
  </si>
  <si>
    <t>Makam Klego dan Ngembat</t>
  </si>
  <si>
    <t>POHON BERINGIN</t>
  </si>
  <si>
    <t>POHON RANDU ALAS</t>
  </si>
  <si>
    <t>SD Klego II</t>
  </si>
  <si>
    <t>Kantor</t>
  </si>
  <si>
    <t xml:space="preserve">Kantor Desa </t>
  </si>
  <si>
    <t>Tanah untuk Bangunan Gedung</t>
  </si>
  <si>
    <t>SD Klego I</t>
  </si>
  <si>
    <t>Sarana Umum</t>
  </si>
  <si>
    <t>RUMAH DINAS DOKTER</t>
  </si>
  <si>
    <t>KIOS DESA</t>
  </si>
  <si>
    <t>POS KEAMANAN</t>
  </si>
  <si>
    <t>KAMAR MANDI</t>
  </si>
  <si>
    <t>REHAB KAMAR MANDI</t>
  </si>
  <si>
    <t>Tanah OO</t>
  </si>
  <si>
    <t>Sumur Bulu</t>
  </si>
  <si>
    <t>Sumur Padas</t>
  </si>
  <si>
    <t>Sumur Jengglong</t>
  </si>
  <si>
    <t>Makam Ngembat</t>
  </si>
  <si>
    <t>: Jawa Tengah</t>
  </si>
  <si>
    <t>: Boyolali</t>
  </si>
  <si>
    <t>: Klego</t>
  </si>
  <si>
    <t>C. 802 Ps 100-101 SV</t>
  </si>
  <si>
    <t>Alat Studio, Kominikasi dan Pemancar</t>
  </si>
  <si>
    <t>INTERNET</t>
  </si>
  <si>
    <t>PROTELINDO</t>
  </si>
  <si>
    <t>4 Mbps</t>
  </si>
  <si>
    <t>MUSHOLA</t>
  </si>
  <si>
    <t>Hibah</t>
  </si>
  <si>
    <t>ADD</t>
  </si>
  <si>
    <t>Luas/vol
(M3)</t>
  </si>
  <si>
    <t>Panjang
(M)</t>
  </si>
  <si>
    <t>RT 03-06</t>
  </si>
  <si>
    <t xml:space="preserve">Jembatan </t>
  </si>
  <si>
    <t>RT 03</t>
  </si>
  <si>
    <t>SMP BK KLEGO</t>
  </si>
  <si>
    <t>DD</t>
  </si>
  <si>
    <t>BANKEUKAB</t>
  </si>
  <si>
    <t>RT 18,19,20</t>
  </si>
  <si>
    <t>RT 15,16</t>
  </si>
  <si>
    <t>RT 16</t>
  </si>
  <si>
    <t>RT 19</t>
  </si>
  <si>
    <t>RT 21</t>
  </si>
  <si>
    <t>RT 23, 24</t>
  </si>
  <si>
    <t>PRATOMO RUDY ATMOKO</t>
  </si>
  <si>
    <t>PEMERINTAH DESA KLEGO</t>
  </si>
  <si>
    <t>Torn Air Bersih</t>
  </si>
  <si>
    <t>Dukuh Klego</t>
  </si>
  <si>
    <t>Dukuh Karanganyar</t>
  </si>
  <si>
    <t>Dukuh Ngembat</t>
  </si>
  <si>
    <t>Dukuh Kedokan</t>
  </si>
  <si>
    <t>Dukuh Klalingan</t>
  </si>
  <si>
    <t>0.1</t>
  </si>
  <si>
    <t>Urugan Jalan Makam Klego</t>
  </si>
  <si>
    <t>Betonisasi Jalan Klego RT 01</t>
  </si>
  <si>
    <t>RT01</t>
  </si>
  <si>
    <t xml:space="preserve">Peta Digital </t>
  </si>
  <si>
    <t>DATA DARI BELANJA MODAL TAHUN 2020 (LAPORAN REALISASI ANGGARAN) KALAU ADA</t>
  </si>
  <si>
    <t>Pengadaan Boox Sterilisasi</t>
  </si>
  <si>
    <t>EPSON L405</t>
  </si>
  <si>
    <t>PRINTER EPSON L405</t>
  </si>
  <si>
    <t>JUMLAH 2020</t>
  </si>
  <si>
    <t>Pembangunan Gedung TK</t>
  </si>
  <si>
    <t>Pengadaaan Kanopi Bale Desa</t>
  </si>
  <si>
    <t>Rabat Beton Jalan Lingkungan Dk. Karanganyar RT 09</t>
  </si>
  <si>
    <t>Rabat Beton Jalan Lingkungan Dk Ngembat RT 14</t>
  </si>
  <si>
    <t>Rabat Beton Jalan Lingkungan Dk. Karanganyar RT 08</t>
  </si>
  <si>
    <t>Rabat Beton jalan Lingkungan Dk. Karanganyar RT 11</t>
  </si>
  <si>
    <t>Betonisasi Jalan Dk Karanganyar RT 10 (39 meter)</t>
  </si>
  <si>
    <t>Betonisasi Jalan Dk Karanganyar RT 10 (83.5 meter)</t>
  </si>
  <si>
    <t>Pembangunan Talud Jalan Pertanian Dk. Klalingan</t>
  </si>
  <si>
    <t>Pembangunan Talud Jalan Dk. Ngembat RT 13</t>
  </si>
  <si>
    <t>RT 13</t>
  </si>
  <si>
    <t>Pembangunan Talud Jalan Dk. Klalingan RT 23</t>
  </si>
  <si>
    <t>Pembangunan Talud Jalan Dk. Karanganyar-Klalingan</t>
  </si>
  <si>
    <t>Aspalisasi Jalan Dk. Klego RT 05</t>
  </si>
  <si>
    <t>Tahun 2020 (Sesuai LRA 2020)</t>
  </si>
  <si>
    <t>Penambahan</t>
  </si>
  <si>
    <t>Pengurangan</t>
  </si>
  <si>
    <t>SALDO AWAL sampai dengan 2020 (hasil Inventarisasi)</t>
  </si>
  <si>
    <t>9=6+7-8</t>
  </si>
  <si>
    <t>GUNTUR HERU SUPRAPTO, S.Pd</t>
  </si>
  <si>
    <t>Yamaha NMAX</t>
  </si>
  <si>
    <t>MH3SG3190KJ891849</t>
  </si>
  <si>
    <t>G3E4E-1888078</t>
  </si>
  <si>
    <t>AD 9618 LD</t>
  </si>
  <si>
    <t>Q-01535430</t>
  </si>
  <si>
    <t>DATA DARI BELANJA MODAL TAHUN 2021 (LAPORAN REALISASI ANGGARAN) KALAU ADA</t>
  </si>
  <si>
    <t>LONOVO</t>
  </si>
  <si>
    <t>Campuran</t>
  </si>
  <si>
    <t>Baik</t>
  </si>
  <si>
    <t>JUMLAH 2021</t>
  </si>
  <si>
    <t>Desa Klego</t>
  </si>
  <si>
    <t>TALUD JALAN Dk. KLALINGAN</t>
  </si>
  <si>
    <t>BETONISASI JALAN Dk. KARANGANYAR RT 07</t>
  </si>
  <si>
    <t>PBK</t>
  </si>
  <si>
    <t>BETONISASI JALAN Dk. KEDOKAN RT 21</t>
  </si>
  <si>
    <t>BETONISASI JALAN Dk. KARANGANYAR RT 08</t>
  </si>
  <si>
    <t>BETONISASI JALAN Dk. KLEGO RT 06</t>
  </si>
  <si>
    <t>BETONISASI JALAN Dk. KEDOKAN RT 15</t>
  </si>
  <si>
    <t>PENDAMPINGAN PAMSIMAS</t>
  </si>
  <si>
    <t>TALUD JALAN Dk. KARANGANYAR RT 09</t>
  </si>
  <si>
    <t>TALUD JALAN Dk. KLEGO RT 06</t>
  </si>
  <si>
    <t>TALUD JALAN Dk. KEDOKAN RT 18</t>
  </si>
  <si>
    <t>RT 18</t>
  </si>
  <si>
    <t>SALDO AWAL sampai dengan 2021 (hasil Inventarisasi)</t>
  </si>
  <si>
    <t>SALDO AKHIR 2021</t>
  </si>
  <si>
    <t>Tahun 2021 (Sesuai LRA 2021)</t>
  </si>
  <si>
    <t>12=9+10-11</t>
  </si>
  <si>
    <t>Aspalisasi Jalan Dk. Kedokan RT 15 dan RT 17</t>
  </si>
  <si>
    <t>BETONISASI JALAN Dk. KARANGANYAR RT 07 (2)</t>
  </si>
  <si>
    <t>Betonisasi Jalan Dk. Karanganyar RT 09 ( Jengglong)</t>
  </si>
  <si>
    <t>Betonisasi Jalan Pertanian Dk. Kedokan RT 21</t>
  </si>
  <si>
    <t>Penerangan Jalan umum</t>
  </si>
  <si>
    <t>Pembuatan saluran Air</t>
  </si>
  <si>
    <t>Sumur Bor Pertanian Kadus 2</t>
  </si>
  <si>
    <t>Betonisasi Jalan Dk. Ngembat RT 13</t>
  </si>
  <si>
    <t xml:space="preserve"> BETONISASI JALAN Usaha Tani Dk. NGEMBAT RT 12</t>
  </si>
  <si>
    <t>Betonisasi jalan Usaha Tani Dk. Klego RT 06</t>
  </si>
  <si>
    <t>PBP</t>
  </si>
  <si>
    <t>Jawa Tngah</t>
  </si>
  <si>
    <t>Belanja Folding Bad</t>
  </si>
  <si>
    <t xml:space="preserve">VALIDASI INVENTARIS BARANG GEDUNG BANGUNAN
GEDUNG DAN BANGUNAN </t>
  </si>
  <si>
    <t xml:space="preserve">                  GUNTUR HERU SUPRAPTO, S.Pd</t>
  </si>
  <si>
    <t xml:space="preserve">                                Kepala Desa Klego</t>
  </si>
  <si>
    <t xml:space="preserve">                                      Mengetahui,</t>
  </si>
  <si>
    <t>DATA DARI BELANJA MODAL TAHUN 2022 (LAPORAN REALISASI ANGGARAN) KALAU ADA</t>
  </si>
  <si>
    <t>JUMLAH 2022</t>
  </si>
  <si>
    <t>Pengadaan Grill Penutup Selokan</t>
  </si>
  <si>
    <t>TIDAK PERMANEN</t>
  </si>
  <si>
    <t>Betonisasi Jalan Dk. Karanganyar RT 08</t>
  </si>
  <si>
    <t>"0,12</t>
  </si>
  <si>
    <t>Talud Jalan Usaha Tani Dk. Klalingan</t>
  </si>
  <si>
    <t>0,70</t>
  </si>
  <si>
    <t>Talud Jalan Usaha Tani Dk. Ngembat</t>
  </si>
  <si>
    <t>0,60</t>
  </si>
  <si>
    <t>Talud Jalan Usaha Tani Dk. Kedokan</t>
  </si>
  <si>
    <t>0.50</t>
  </si>
  <si>
    <t>Pembangunan Talud Jalan Dk. Klego RT 06</t>
  </si>
  <si>
    <t>0.80</t>
  </si>
  <si>
    <t>Pembangunan Talud Jalan Dk. Klego RT 05</t>
  </si>
  <si>
    <t>0,80</t>
  </si>
  <si>
    <t>SALDO AWAL sampai dengan 2022 (hasil Inventarisasi)</t>
  </si>
  <si>
    <t>10=9+10-11</t>
  </si>
  <si>
    <t>SALDO AKHIR 2022</t>
  </si>
  <si>
    <t>Tahun 2022 (Sesuai LRA 2022)</t>
  </si>
  <si>
    <t>12=10+11-12</t>
  </si>
  <si>
    <t>Talud Timur Parkiran</t>
  </si>
  <si>
    <t>Rehap Mushola</t>
  </si>
  <si>
    <t>Keramik Pendopo</t>
  </si>
  <si>
    <t>SCANER</t>
  </si>
  <si>
    <t>EPSON</t>
  </si>
  <si>
    <t>Talud Jalan Usaha Tani Dk. Ngembat - Karanganyar</t>
  </si>
  <si>
    <t>TALUD JALAN USAHA TANI Dk. NGEMBAT RT 12 LANJUTAN</t>
  </si>
  <si>
    <t>HT</t>
  </si>
  <si>
    <t>Pengadaan Mobil Siaga</t>
  </si>
  <si>
    <t>Toyota</t>
  </si>
  <si>
    <t>JUMLAH 2023</t>
  </si>
  <si>
    <t>DATA DARI BELANJA MODAL TAHUN 2023 (LAPORAN REALISASI ANGGARAN) KALAU ADA</t>
  </si>
  <si>
    <t>SALDO AWAL sampai dengan 2023 (hasil Inventarisasi)</t>
  </si>
  <si>
    <t>Tahun 2023 (Sesuai LRA 2023)</t>
  </si>
  <si>
    <t>SALDO AKHIR 2023</t>
  </si>
  <si>
    <t>Jalan Desa</t>
  </si>
  <si>
    <t>Betonisasi jalan Dk. Karanganyar RT 11</t>
  </si>
  <si>
    <t>Pembangunan Talud Jalan Usaha Tani Dk. Ngembat - Karanganyar</t>
  </si>
  <si>
    <t>Pembangunan Drainase Dk. Karanganyar RT 08</t>
  </si>
  <si>
    <t>Sumur Bor Pertanian Kadus 1</t>
  </si>
  <si>
    <t>Sumur Pertanian Titik Klego</t>
  </si>
  <si>
    <t>Sumur Pertanian Titik Kedokan</t>
  </si>
  <si>
    <t>Sumur Pertanian Titik Karanganyar</t>
  </si>
  <si>
    <t>Sumur Pertanian Titik Klalingan</t>
  </si>
  <si>
    <t>32"</t>
  </si>
  <si>
    <t>Talud Jalan Dk. Kedokan RT 21 Arah Klepu</t>
  </si>
  <si>
    <t>CSR</t>
  </si>
  <si>
    <t>Betonisasi Jalan Dk. Kedokan dan Klego</t>
  </si>
  <si>
    <t>Bantuan Propinsi</t>
  </si>
  <si>
    <t>Desa Klego, 31 Desember 2024</t>
  </si>
  <si>
    <t>DATA DARI BELANJA MODAL TAHUN 2024 (LAPORAN REALISASI ANGGARAN) KALAU ADA</t>
  </si>
  <si>
    <t>Belanja Fingerprint</t>
  </si>
  <si>
    <t>Levo WFV-2088NC</t>
  </si>
  <si>
    <t>SALDO AWAL sampai dengan 2024 (hasil Inventarisasi)</t>
  </si>
  <si>
    <t>Tahun 2024 (Sesuai LRA 2024)</t>
  </si>
  <si>
    <t>SALDO AKHIR 2024</t>
  </si>
  <si>
    <t>Belanja Laptop</t>
  </si>
  <si>
    <t>JUMLAH 2024</t>
  </si>
  <si>
    <t>Aspal Jalan Dk. Karanganyar RT 07</t>
  </si>
  <si>
    <t>Bantuan Provinsi</t>
  </si>
  <si>
    <t>Aspal jalan Dk. Klalingan</t>
  </si>
  <si>
    <t>Aspal Jalan Dk. Karanganyar RT 10 Utara</t>
  </si>
  <si>
    <t>Aspal Jalan Dk. Karanganyar RT 10 Selatan</t>
  </si>
  <si>
    <t>Aspal Jalan Dk. Ngembat RT 12 dan 13</t>
  </si>
  <si>
    <t>Talud JUT Dk. Klalingan</t>
  </si>
  <si>
    <t>0.3</t>
  </si>
  <si>
    <t>Talud JUT Dk. Ngembat RT 12</t>
  </si>
  <si>
    <t>Betonisasi JUT Dk. Kedokan RT 17</t>
  </si>
  <si>
    <t>Betonisasi JUT Dk. Karanganyar-Ngembat</t>
  </si>
  <si>
    <t xml:space="preserve">Talud Jalan Dk. Klego Arah Gandu </t>
  </si>
  <si>
    <t>Desa Klego, 31 Desember 2025</t>
  </si>
  <si>
    <t>DATA DARI BELANJA MODAL TAHUN 2025 (LAPORAN REALISASI ANGGARAN) KALAU ADA</t>
  </si>
  <si>
    <t>Belanja Printer HP Laser Jet</t>
  </si>
  <si>
    <t>Belanja Proyektor</t>
  </si>
  <si>
    <t>JUMLAH 2025</t>
  </si>
  <si>
    <t>Tidak</t>
  </si>
  <si>
    <t>Pembangunan Atap Gedung TK</t>
  </si>
  <si>
    <t>Dapur TK</t>
  </si>
  <si>
    <t>Aspal Jalan Dukuh Karanganyar RT 09 dan RT 10</t>
  </si>
  <si>
    <t>Aspal Jalan Dk. Kedokan RT 18 dan RT 20</t>
  </si>
  <si>
    <t>Aspal Jalan Dk. Klego RT 04</t>
  </si>
  <si>
    <t>Pembangunan Rabat Beton Jalan Dk. Klego RT 01</t>
  </si>
  <si>
    <t>Talud Jalan Usaha Tani Dk. Ngembat RT 12</t>
  </si>
  <si>
    <t>Talud Jalan Usaha Tani Dk. Ngembat RT 12 (kedua)</t>
  </si>
  <si>
    <t>Rabat Beton Jalan Makam Dk. Ngembat</t>
  </si>
  <si>
    <t>Rabat Beton JUT Dk. Ngembat RT 12</t>
  </si>
  <si>
    <t>Aspal Jalan Dk. Karanaganyar RT 10</t>
  </si>
  <si>
    <t>Aspal Jalan Dk. Kedokan RT 15</t>
  </si>
  <si>
    <t>Rabat Beton Dk. Ngembat RT 14</t>
  </si>
  <si>
    <t>Rabat Beton Jalan Dk. Kedokan RT 16</t>
  </si>
  <si>
    <t>Talud Jalan Dk. Kedokan RT 16</t>
  </si>
  <si>
    <t>Rabat Beton Jalan Dk. Kedokan RT 19</t>
  </si>
  <si>
    <t>Rabat Beton Jalan Usaha Tani (JUT) Dk. Kedokan RT 21 - Klepu</t>
  </si>
  <si>
    <t>Talud Jalan Jalan Usaha Tani (JUT) Dk. Kedokan RT 21</t>
  </si>
  <si>
    <t>Talud Jalan Dk. Klego RT 05</t>
  </si>
  <si>
    <t>Drainase Jalan Dk. Ngembat RT 14</t>
  </si>
  <si>
    <t>Sumur BOR Pertanian Dk. Ngembat RT 12</t>
  </si>
  <si>
    <t>PER 31 DESEMBER 2025</t>
  </si>
  <si>
    <t>SALDO AWAL sampai dengan 2025 (hasil Inventarisasi)</t>
  </si>
  <si>
    <t>Tahun 2025 (Sesuai LRA 2025)</t>
  </si>
  <si>
    <t>SALDO AKHIR 2025</t>
  </si>
  <si>
    <t>Aspal Jalan Dk. Ngembat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</si>
</sst>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_-&quot;Rp&quot;* #,##0_-;\-&quot;Rp&quot;* #,##0_-;_-&quot;Rp&quot;* &quot;-&quot;_-;_-@_-"/>
    <numFmt numFmtId="165" formatCode="_-* #,##0_-;\-* #,##0_-;_-* &quot;-&quot;_-;_-@_-"/>
    <numFmt numFmtId="166" formatCode="_(* #,##0_);_(* \(#,##0\);_(* &quot;-&quot;??_);_(@_)"/>
    <numFmt numFmtId="167" formatCode="_([$Rp-421]* #,##0_);_([$Rp-421]* \(#,##0\);_([$Rp-421]* &quot;-&quot;??_);_(@_)"/>
    <numFmt numFmtId="168" formatCode="_-[$Rp-3809]* #,##0_-;\-[$Rp-3809]* #,##0_-;_-[$Rp-3809]* &quot;-&quot;_-;_-@_-"/>
    <numFmt numFmtId="169" formatCode="_-[$Rp-421]* #,##0_-;\-[$Rp-421]* #,##0_-;_-[$Rp-421]* &quot;-&quot;_-;_-@_-"/>
    <numFmt numFmtId="170" formatCode="_-* #,##0.00_-;\-* #,##0.00_-;_-* &quot;-&quot;_-;_-@_-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b/>
      <sz val="8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sz val="12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Arial"/>
      <family val="2"/>
    </font>
    <font>
      <sz val="9"/>
      <name val="Arial"/>
      <family val="2"/>
    </font>
    <font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Arial"/>
      <family val="2"/>
    </font>
    <font>
      <sz val="10"/>
      <color rgb="FF00B050"/>
      <name val="Arial"/>
      <family val="2"/>
    </font>
    <font>
      <sz val="10"/>
      <color theme="7"/>
      <name val="Arial"/>
      <family val="2"/>
    </font>
    <font>
      <b/>
      <sz val="9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>
      <alignment vertical="top"/>
    </xf>
    <xf numFmtId="165" fontId="8" fillId="0" borderId="0" applyFont="0" applyFill="0" applyBorder="0" applyAlignment="0" applyProtection="0"/>
    <xf numFmtId="0" fontId="12" fillId="0" borderId="0"/>
    <xf numFmtId="0" fontId="13" fillId="2" borderId="0" applyNumberFormat="0" applyBorder="0" applyAlignment="0" applyProtection="0"/>
    <xf numFmtId="0" fontId="8" fillId="0" borderId="0">
      <alignment vertical="top"/>
    </xf>
    <xf numFmtId="43" fontId="1" fillId="0" borderId="0" applyFont="0" applyFill="0" applyBorder="0" applyAlignment="0" applyProtection="0"/>
    <xf numFmtId="0" fontId="7" fillId="0" borderId="0"/>
    <xf numFmtId="0" fontId="7" fillId="0" borderId="0"/>
  </cellStyleXfs>
  <cellXfs count="713">
    <xf numFmtId="0" fontId="0" fillId="0" borderId="0" xfId="0"/>
    <xf numFmtId="165" fontId="0" fillId="0" borderId="0" xfId="1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1" xfId="0" quotePrefix="1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4" fillId="0" borderId="0" xfId="0" applyFont="1" applyAlignment="1">
      <alignment horizontal="center" vertical="top"/>
    </xf>
    <xf numFmtId="0" fontId="8" fillId="0" borderId="0" xfId="2">
      <alignment vertical="top"/>
    </xf>
    <xf numFmtId="0" fontId="9" fillId="0" borderId="0" xfId="2" applyFont="1">
      <alignment vertical="top"/>
    </xf>
    <xf numFmtId="0" fontId="9" fillId="0" borderId="0" xfId="2" applyFont="1" applyAlignment="1">
      <alignment horizontal="center" vertical="top"/>
    </xf>
    <xf numFmtId="0" fontId="8" fillId="0" borderId="0" xfId="2" applyFont="1">
      <alignment vertical="top"/>
    </xf>
    <xf numFmtId="0" fontId="9" fillId="0" borderId="0" xfId="2" applyFont="1" applyAlignment="1">
      <alignment horizontal="center" vertical="center"/>
    </xf>
    <xf numFmtId="0" fontId="8" fillId="0" borderId="0" xfId="2" applyAlignment="1">
      <alignment horizontal="center" vertical="top"/>
    </xf>
    <xf numFmtId="0" fontId="11" fillId="0" borderId="0" xfId="2" applyFont="1">
      <alignment vertical="top"/>
    </xf>
    <xf numFmtId="0" fontId="10" fillId="0" borderId="0" xfId="2" applyFont="1">
      <alignment vertical="top"/>
    </xf>
    <xf numFmtId="0" fontId="14" fillId="0" borderId="1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top"/>
    </xf>
    <xf numFmtId="0" fontId="15" fillId="0" borderId="1" xfId="2" applyFont="1" applyBorder="1" applyAlignment="1">
      <alignment horizontal="center" vertical="center"/>
    </xf>
    <xf numFmtId="0" fontId="15" fillId="0" borderId="11" xfId="2" applyFont="1" applyBorder="1" applyAlignment="1">
      <alignment horizontal="center" vertical="center"/>
    </xf>
    <xf numFmtId="0" fontId="15" fillId="0" borderId="11" xfId="2" applyFont="1" applyBorder="1" applyAlignment="1">
      <alignment vertical="center"/>
    </xf>
    <xf numFmtId="0" fontId="15" fillId="0" borderId="12" xfId="2" applyFont="1" applyBorder="1" applyAlignment="1">
      <alignment horizontal="center" vertical="center"/>
    </xf>
    <xf numFmtId="0" fontId="15" fillId="0" borderId="12" xfId="2" applyFont="1" applyBorder="1" applyAlignment="1">
      <alignment vertical="center"/>
    </xf>
    <xf numFmtId="0" fontId="15" fillId="0" borderId="12" xfId="2" applyFont="1" applyBorder="1" applyAlignment="1">
      <alignment vertical="center" wrapText="1"/>
    </xf>
    <xf numFmtId="0" fontId="15" fillId="0" borderId="12" xfId="2" applyFont="1" applyBorder="1" applyAlignment="1">
      <alignment horizontal="center" vertical="center" wrapText="1"/>
    </xf>
    <xf numFmtId="0" fontId="15" fillId="0" borderId="12" xfId="2" applyFont="1" applyBorder="1">
      <alignment vertical="top"/>
    </xf>
    <xf numFmtId="0" fontId="15" fillId="0" borderId="13" xfId="2" applyFont="1" applyBorder="1">
      <alignment vertical="top"/>
    </xf>
    <xf numFmtId="0" fontId="15" fillId="0" borderId="1" xfId="2" applyFont="1" applyBorder="1">
      <alignment vertical="top"/>
    </xf>
    <xf numFmtId="165" fontId="8" fillId="0" borderId="0" xfId="2" applyNumberFormat="1">
      <alignment vertical="top"/>
    </xf>
    <xf numFmtId="165" fontId="8" fillId="0" borderId="0" xfId="3" applyFont="1">
      <alignment vertical="top"/>
    </xf>
    <xf numFmtId="0" fontId="15" fillId="0" borderId="9" xfId="2" applyFont="1" applyBorder="1">
      <alignment vertical="top"/>
    </xf>
    <xf numFmtId="165" fontId="8" fillId="0" borderId="1" xfId="3" applyFont="1" applyFill="1" applyBorder="1" applyAlignment="1"/>
    <xf numFmtId="0" fontId="15" fillId="6" borderId="5" xfId="2" applyFont="1" applyFill="1" applyBorder="1" applyAlignment="1">
      <alignment horizontal="center" vertical="center"/>
    </xf>
    <xf numFmtId="0" fontId="15" fillId="6" borderId="1" xfId="2" applyFont="1" applyFill="1" applyBorder="1" applyAlignment="1">
      <alignment horizontal="center" vertical="top"/>
    </xf>
    <xf numFmtId="0" fontId="15" fillId="6" borderId="1" xfId="2" applyFont="1" applyFill="1" applyBorder="1">
      <alignment vertical="top"/>
    </xf>
    <xf numFmtId="165" fontId="14" fillId="6" borderId="1" xfId="2" applyNumberFormat="1" applyFont="1" applyFill="1" applyBorder="1" applyAlignment="1">
      <alignment horizontal="center" vertical="center"/>
    </xf>
    <xf numFmtId="0" fontId="15" fillId="0" borderId="14" xfId="2" applyFont="1" applyBorder="1" applyAlignment="1">
      <alignment horizontal="center" vertical="center"/>
    </xf>
    <xf numFmtId="0" fontId="15" fillId="0" borderId="14" xfId="2" applyFont="1" applyFill="1" applyBorder="1" applyAlignment="1">
      <alignment horizontal="center" vertical="center"/>
    </xf>
    <xf numFmtId="0" fontId="15" fillId="0" borderId="14" xfId="2" applyFont="1" applyBorder="1" applyAlignment="1">
      <alignment vertical="center"/>
    </xf>
    <xf numFmtId="0" fontId="15" fillId="0" borderId="1" xfId="2" applyFont="1" applyFill="1" applyBorder="1" applyAlignment="1">
      <alignment horizontal="center" vertical="center"/>
    </xf>
    <xf numFmtId="165" fontId="15" fillId="0" borderId="1" xfId="3" applyFont="1" applyBorder="1" applyAlignment="1">
      <alignment horizontal="center" vertical="center"/>
    </xf>
    <xf numFmtId="0" fontId="15" fillId="0" borderId="1" xfId="2" applyFont="1" applyFill="1" applyBorder="1" applyAlignment="1">
      <alignment vertical="center"/>
    </xf>
    <xf numFmtId="0" fontId="15" fillId="0" borderId="0" xfId="2" applyFont="1" applyBorder="1" applyAlignment="1">
      <alignment horizontal="center" vertical="center"/>
    </xf>
    <xf numFmtId="0" fontId="4" fillId="4" borderId="1" xfId="0" applyFont="1" applyFill="1" applyBorder="1" applyAlignment="1">
      <alignment vertical="top"/>
    </xf>
    <xf numFmtId="0" fontId="15" fillId="4" borderId="5" xfId="2" applyFont="1" applyFill="1" applyBorder="1" applyAlignment="1">
      <alignment horizontal="center" vertical="center"/>
    </xf>
    <xf numFmtId="0" fontId="15" fillId="4" borderId="1" xfId="2" applyFont="1" applyFill="1" applyBorder="1" applyAlignment="1">
      <alignment horizontal="center" vertical="top"/>
    </xf>
    <xf numFmtId="0" fontId="15" fillId="4" borderId="1" xfId="2" applyFont="1" applyFill="1" applyBorder="1">
      <alignment vertical="top"/>
    </xf>
    <xf numFmtId="165" fontId="14" fillId="4" borderId="1" xfId="2" applyNumberFormat="1" applyFont="1" applyFill="1" applyBorder="1" applyAlignment="1">
      <alignment horizontal="center" vertical="center"/>
    </xf>
    <xf numFmtId="0" fontId="15" fillId="0" borderId="13" xfId="2" applyFont="1" applyBorder="1" applyAlignment="1">
      <alignment vertical="center"/>
    </xf>
    <xf numFmtId="0" fontId="14" fillId="0" borderId="0" xfId="2" applyFont="1" applyBorder="1" applyAlignment="1">
      <alignment vertical="center"/>
    </xf>
    <xf numFmtId="0" fontId="15" fillId="0" borderId="0" xfId="2" applyFont="1" applyBorder="1" applyAlignment="1">
      <alignment vertical="center"/>
    </xf>
    <xf numFmtId="0" fontId="15" fillId="0" borderId="0" xfId="2" applyFont="1" applyFill="1" applyBorder="1" applyAlignment="1">
      <alignment horizontal="center" vertical="center"/>
    </xf>
    <xf numFmtId="165" fontId="14" fillId="0" borderId="0" xfId="3" quotePrefix="1" applyFont="1" applyBorder="1" applyAlignment="1">
      <alignment horizontal="center" vertical="center"/>
    </xf>
    <xf numFmtId="0" fontId="8" fillId="6" borderId="1" xfId="2" applyFill="1" applyBorder="1" applyAlignment="1">
      <alignment vertical="center"/>
    </xf>
    <xf numFmtId="0" fontId="8" fillId="6" borderId="1" xfId="2" applyFill="1" applyBorder="1" applyAlignment="1">
      <alignment horizontal="center" vertical="center"/>
    </xf>
    <xf numFmtId="164" fontId="10" fillId="6" borderId="1" xfId="2" applyNumberFormat="1" applyFont="1" applyFill="1" applyBorder="1" applyAlignment="1">
      <alignment horizontal="center" vertical="center"/>
    </xf>
    <xf numFmtId="0" fontId="4" fillId="0" borderId="0" xfId="0" applyFont="1"/>
    <xf numFmtId="0" fontId="7" fillId="0" borderId="0" xfId="2" applyFont="1">
      <alignment vertical="top"/>
    </xf>
    <xf numFmtId="0" fontId="17" fillId="0" borderId="0" xfId="2" applyFont="1">
      <alignment vertical="top"/>
    </xf>
    <xf numFmtId="0" fontId="18" fillId="0" borderId="1" xfId="2" applyFont="1" applyBorder="1" applyAlignment="1">
      <alignment horizontal="center" vertical="center" wrapText="1"/>
    </xf>
    <xf numFmtId="0" fontId="18" fillId="0" borderId="1" xfId="2" applyFont="1" applyBorder="1" applyAlignment="1">
      <alignment vertical="center"/>
    </xf>
    <xf numFmtId="0" fontId="7" fillId="0" borderId="1" xfId="2" applyFont="1" applyBorder="1" applyAlignment="1">
      <alignment horizontal="center" vertical="top"/>
    </xf>
    <xf numFmtId="0" fontId="7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0" fontId="7" fillId="0" borderId="1" xfId="2" applyFont="1" applyBorder="1">
      <alignment vertical="top"/>
    </xf>
    <xf numFmtId="0" fontId="7" fillId="6" borderId="1" xfId="2" applyFont="1" applyFill="1" applyBorder="1" applyAlignment="1">
      <alignment horizontal="center" vertical="top"/>
    </xf>
    <xf numFmtId="0" fontId="7" fillId="6" borderId="1" xfId="2" applyFont="1" applyFill="1" applyBorder="1">
      <alignment vertical="top"/>
    </xf>
    <xf numFmtId="0" fontId="7" fillId="0" borderId="1" xfId="2" applyFont="1" applyBorder="1" applyAlignment="1">
      <alignment horizontal="left" vertical="top"/>
    </xf>
    <xf numFmtId="0" fontId="7" fillId="4" borderId="1" xfId="2" applyFont="1" applyFill="1" applyBorder="1">
      <alignment vertical="top"/>
    </xf>
    <xf numFmtId="0" fontId="7" fillId="0" borderId="0" xfId="2" applyFont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0" xfId="0" applyFont="1" applyFill="1" applyBorder="1"/>
    <xf numFmtId="0" fontId="7" fillId="0" borderId="0" xfId="2" applyFont="1" applyFill="1" applyBorder="1">
      <alignment vertical="top"/>
    </xf>
    <xf numFmtId="164" fontId="7" fillId="0" borderId="0" xfId="2" applyNumberFormat="1" applyFont="1" applyFill="1" applyBorder="1">
      <alignment vertical="top"/>
    </xf>
    <xf numFmtId="164" fontId="18" fillId="0" borderId="0" xfId="2" applyNumberFormat="1" applyFont="1" applyFill="1" applyBorder="1">
      <alignment vertical="top"/>
    </xf>
    <xf numFmtId="165" fontId="7" fillId="0" borderId="0" xfId="4" applyFont="1" applyFill="1" applyBorder="1" applyAlignment="1">
      <alignment vertical="top"/>
    </xf>
    <xf numFmtId="0" fontId="19" fillId="0" borderId="0" xfId="2" applyFont="1" applyFill="1" applyBorder="1" applyAlignment="1"/>
    <xf numFmtId="164" fontId="19" fillId="0" borderId="0" xfId="4" applyNumberFormat="1" applyFont="1" applyFill="1" applyBorder="1"/>
    <xf numFmtId="0" fontId="7" fillId="0" borderId="0" xfId="2" applyFont="1" applyFill="1" applyBorder="1" applyAlignment="1"/>
    <xf numFmtId="165" fontId="20" fillId="0" borderId="0" xfId="4" applyFont="1" applyFill="1" applyBorder="1"/>
    <xf numFmtId="0" fontId="7" fillId="0" borderId="0" xfId="2" applyFont="1" applyFill="1" applyBorder="1" applyAlignment="1">
      <alignment vertical="center"/>
    </xf>
    <xf numFmtId="165" fontId="20" fillId="0" borderId="0" xfId="4" applyFont="1" applyFill="1" applyBorder="1" applyAlignment="1">
      <alignment vertical="center"/>
    </xf>
    <xf numFmtId="165" fontId="7" fillId="0" borderId="0" xfId="2" applyNumberFormat="1" applyFont="1" applyFill="1" applyBorder="1">
      <alignment vertical="top"/>
    </xf>
    <xf numFmtId="0" fontId="7" fillId="0" borderId="0" xfId="2" applyFont="1" applyFill="1" applyBorder="1" applyAlignment="1">
      <alignment vertical="center" wrapText="1"/>
    </xf>
    <xf numFmtId="164" fontId="7" fillId="0" borderId="0" xfId="2" applyNumberFormat="1" applyFont="1" applyFill="1" applyBorder="1">
      <alignment vertical="top"/>
    </xf>
    <xf numFmtId="0" fontId="7" fillId="4" borderId="2" xfId="2" applyFont="1" applyFill="1" applyBorder="1">
      <alignment vertical="top"/>
    </xf>
    <xf numFmtId="0" fontId="7" fillId="4" borderId="8" xfId="2" applyFont="1" applyFill="1" applyBorder="1">
      <alignment vertical="top"/>
    </xf>
    <xf numFmtId="0" fontId="7" fillId="4" borderId="9" xfId="2" applyFont="1" applyFill="1" applyBorder="1">
      <alignment vertical="top"/>
    </xf>
    <xf numFmtId="0" fontId="8" fillId="0" borderId="0" xfId="2">
      <alignment vertical="top"/>
    </xf>
    <xf numFmtId="0" fontId="8" fillId="0" borderId="1" xfId="2" applyBorder="1" applyAlignment="1">
      <alignment horizontal="center" vertical="top"/>
    </xf>
    <xf numFmtId="0" fontId="10" fillId="0" borderId="0" xfId="2" applyFont="1">
      <alignment vertical="top"/>
    </xf>
    <xf numFmtId="0" fontId="9" fillId="0" borderId="0" xfId="2" applyFont="1">
      <alignment vertical="top"/>
    </xf>
    <xf numFmtId="0" fontId="8" fillId="0" borderId="1" xfId="2" applyBorder="1" applyAlignment="1">
      <alignment horizontal="center" vertical="center"/>
    </xf>
    <xf numFmtId="0" fontId="8" fillId="0" borderId="0" xfId="2" applyAlignment="1">
      <alignment horizontal="center" vertical="center"/>
    </xf>
    <xf numFmtId="0" fontId="8" fillId="0" borderId="1" xfId="2" applyBorder="1" applyAlignment="1">
      <alignment vertical="center"/>
    </xf>
    <xf numFmtId="164" fontId="8" fillId="0" borderId="1" xfId="2" applyNumberFormat="1" applyBorder="1" applyAlignment="1">
      <alignment horizontal="center" vertical="center"/>
    </xf>
    <xf numFmtId="164" fontId="10" fillId="0" borderId="1" xfId="2" applyNumberFormat="1" applyFont="1" applyBorder="1" applyAlignment="1">
      <alignment horizontal="center" vertical="center"/>
    </xf>
    <xf numFmtId="164" fontId="8" fillId="0" borderId="0" xfId="2" applyNumberFormat="1" applyFill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8" fillId="0" borderId="0" xfId="2" applyFont="1">
      <alignment vertical="top"/>
    </xf>
    <xf numFmtId="164" fontId="8" fillId="0" borderId="0" xfId="2" applyNumberFormat="1">
      <alignment vertical="top"/>
    </xf>
    <xf numFmtId="0" fontId="0" fillId="0" borderId="0" xfId="0" applyAlignment="1">
      <alignment horizontal="center"/>
    </xf>
    <xf numFmtId="0" fontId="8" fillId="0" borderId="9" xfId="2" applyBorder="1" applyAlignment="1">
      <alignment vertical="center"/>
    </xf>
    <xf numFmtId="0" fontId="8" fillId="0" borderId="9" xfId="2" applyBorder="1" applyAlignment="1">
      <alignment horizontal="center" vertical="center"/>
    </xf>
    <xf numFmtId="164" fontId="8" fillId="0" borderId="9" xfId="2" applyNumberFormat="1" applyBorder="1" applyAlignment="1">
      <alignment horizontal="center" vertical="center"/>
    </xf>
    <xf numFmtId="0" fontId="8" fillId="0" borderId="0" xfId="2" applyBorder="1" applyAlignment="1">
      <alignment vertical="center"/>
    </xf>
    <xf numFmtId="0" fontId="8" fillId="0" borderId="0" xfId="2" applyFont="1" applyBorder="1" applyAlignment="1">
      <alignment horizontal="center" vertical="center" wrapText="1"/>
    </xf>
    <xf numFmtId="0" fontId="8" fillId="0" borderId="0" xfId="2" applyBorder="1" applyAlignment="1">
      <alignment horizontal="center" vertical="center"/>
    </xf>
    <xf numFmtId="164" fontId="8" fillId="0" borderId="0" xfId="2" applyNumberFormat="1" applyBorder="1" applyAlignment="1">
      <alignment horizontal="center" vertical="center"/>
    </xf>
    <xf numFmtId="0" fontId="8" fillId="0" borderId="0" xfId="2" applyBorder="1">
      <alignment vertical="top"/>
    </xf>
    <xf numFmtId="0" fontId="3" fillId="0" borderId="0" xfId="5" applyFont="1"/>
    <xf numFmtId="0" fontId="22" fillId="0" borderId="1" xfId="5" applyFont="1" applyFill="1" applyBorder="1" applyAlignment="1">
      <alignment horizontal="center" vertical="top"/>
    </xf>
    <xf numFmtId="0" fontId="22" fillId="0" borderId="9" xfId="5" applyFont="1" applyFill="1" applyBorder="1" applyAlignment="1">
      <alignment horizontal="center" vertical="center"/>
    </xf>
    <xf numFmtId="0" fontId="22" fillId="0" borderId="9" xfId="5" applyFont="1" applyFill="1" applyBorder="1" applyAlignment="1">
      <alignment horizontal="center" vertical="center" wrapText="1"/>
    </xf>
    <xf numFmtId="0" fontId="5" fillId="0" borderId="1" xfId="6" applyFont="1" applyFill="1" applyBorder="1" applyAlignment="1">
      <alignment horizontal="center" vertical="top"/>
    </xf>
    <xf numFmtId="0" fontId="5" fillId="0" borderId="1" xfId="6" applyFont="1" applyFill="1" applyBorder="1" applyAlignment="1">
      <alignment horizontal="left" vertical="top" wrapText="1"/>
    </xf>
    <xf numFmtId="165" fontId="5" fillId="0" borderId="1" xfId="1" applyFont="1" applyFill="1" applyBorder="1" applyAlignment="1">
      <alignment horizontal="left" vertical="top" wrapText="1"/>
    </xf>
    <xf numFmtId="165" fontId="5" fillId="0" borderId="1" xfId="1" applyFont="1" applyFill="1" applyBorder="1"/>
    <xf numFmtId="0" fontId="6" fillId="0" borderId="1" xfId="7" applyFont="1" applyFill="1" applyBorder="1" applyAlignment="1">
      <alignment vertical="center"/>
    </xf>
    <xf numFmtId="0" fontId="6" fillId="0" borderId="1" xfId="7" applyFont="1" applyFill="1" applyBorder="1" applyAlignment="1">
      <alignment horizontal="center" vertical="center"/>
    </xf>
    <xf numFmtId="165" fontId="6" fillId="0" borderId="1" xfId="1" applyFont="1" applyFill="1" applyBorder="1" applyAlignment="1">
      <alignment horizontal="left" vertical="center"/>
    </xf>
    <xf numFmtId="0" fontId="3" fillId="0" borderId="0" xfId="0" applyFont="1" applyFill="1" applyAlignment="1">
      <alignment horizontal="center"/>
    </xf>
    <xf numFmtId="0" fontId="23" fillId="0" borderId="0" xfId="6" applyFont="1" applyFill="1" applyBorder="1" applyAlignment="1">
      <alignment horizontal="left" vertical="top" wrapText="1"/>
    </xf>
    <xf numFmtId="0" fontId="24" fillId="0" borderId="0" xfId="0" applyFont="1"/>
    <xf numFmtId="0" fontId="15" fillId="7" borderId="1" xfId="2" applyFont="1" applyFill="1" applyBorder="1" applyAlignment="1">
      <alignment horizontal="center" vertical="center"/>
    </xf>
    <xf numFmtId="0" fontId="14" fillId="7" borderId="1" xfId="2" applyFont="1" applyFill="1" applyBorder="1" applyAlignment="1">
      <alignment vertical="center"/>
    </xf>
    <xf numFmtId="0" fontId="15" fillId="7" borderId="1" xfId="2" applyFont="1" applyFill="1" applyBorder="1" applyAlignment="1">
      <alignment vertical="center"/>
    </xf>
    <xf numFmtId="165" fontId="14" fillId="7" borderId="1" xfId="3" quotePrefix="1" applyFont="1" applyFill="1" applyBorder="1" applyAlignment="1">
      <alignment horizontal="center" vertical="center"/>
    </xf>
    <xf numFmtId="0" fontId="6" fillId="7" borderId="5" xfId="0" applyFont="1" applyFill="1" applyBorder="1" applyAlignment="1">
      <alignment vertical="center"/>
    </xf>
    <xf numFmtId="0" fontId="6" fillId="7" borderId="4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7" fillId="7" borderId="1" xfId="2" applyFont="1" applyFill="1" applyBorder="1" applyAlignment="1">
      <alignment horizontal="center" vertical="top"/>
    </xf>
    <xf numFmtId="0" fontId="7" fillId="7" borderId="1" xfId="2" applyFont="1" applyFill="1" applyBorder="1" applyAlignment="1">
      <alignment vertical="center"/>
    </xf>
    <xf numFmtId="0" fontId="7" fillId="7" borderId="1" xfId="2" applyFont="1" applyFill="1" applyBorder="1">
      <alignment vertical="top"/>
    </xf>
    <xf numFmtId="0" fontId="7" fillId="7" borderId="1" xfId="2" applyFont="1" applyFill="1" applyBorder="1" applyAlignment="1">
      <alignment horizontal="center" vertical="center"/>
    </xf>
    <xf numFmtId="0" fontId="8" fillId="7" borderId="1" xfId="2" applyFill="1" applyBorder="1" applyAlignment="1">
      <alignment vertical="center"/>
    </xf>
    <xf numFmtId="164" fontId="10" fillId="7" borderId="1" xfId="2" applyNumberFormat="1" applyFont="1" applyFill="1" applyBorder="1" applyAlignment="1">
      <alignment horizontal="center" vertical="center"/>
    </xf>
    <xf numFmtId="0" fontId="8" fillId="7" borderId="1" xfId="2" applyFill="1" applyBorder="1" applyAlignment="1">
      <alignment horizontal="center" vertical="center"/>
    </xf>
    <xf numFmtId="0" fontId="9" fillId="0" borderId="0" xfId="0" applyFont="1" applyAlignment="1">
      <alignment vertical="top"/>
    </xf>
    <xf numFmtId="0" fontId="0" fillId="0" borderId="0" xfId="0" applyAlignment="1">
      <alignment vertical="top"/>
    </xf>
    <xf numFmtId="0" fontId="25" fillId="0" borderId="0" xfId="0" applyFont="1" applyAlignment="1">
      <alignment vertical="top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top"/>
    </xf>
    <xf numFmtId="0" fontId="25" fillId="0" borderId="1" xfId="0" applyFont="1" applyBorder="1" applyAlignment="1">
      <alignment vertical="top"/>
    </xf>
    <xf numFmtId="164" fontId="0" fillId="0" borderId="0" xfId="0" applyNumberFormat="1" applyAlignment="1">
      <alignment vertical="top"/>
    </xf>
    <xf numFmtId="164" fontId="25" fillId="0" borderId="1" xfId="1" applyNumberFormat="1" applyFont="1" applyBorder="1" applyAlignment="1">
      <alignment vertical="top"/>
    </xf>
    <xf numFmtId="0" fontId="25" fillId="0" borderId="1" xfId="0" applyFont="1" applyFill="1" applyBorder="1" applyAlignment="1">
      <alignment vertical="top"/>
    </xf>
    <xf numFmtId="0" fontId="25" fillId="0" borderId="1" xfId="0" applyFont="1" applyFill="1" applyBorder="1" applyAlignment="1">
      <alignment horizontal="center" vertical="top"/>
    </xf>
    <xf numFmtId="165" fontId="0" fillId="0" borderId="0" xfId="1" applyFont="1" applyAlignment="1">
      <alignment vertical="top"/>
    </xf>
    <xf numFmtId="0" fontId="0" fillId="0" borderId="0" xfId="0" applyAlignment="1">
      <alignment horizontal="center" vertical="top"/>
    </xf>
    <xf numFmtId="0" fontId="25" fillId="0" borderId="0" xfId="0" applyFont="1" applyBorder="1" applyAlignment="1">
      <alignment horizontal="center" vertical="top"/>
    </xf>
    <xf numFmtId="0" fontId="25" fillId="0" borderId="0" xfId="0" applyFont="1" applyBorder="1" applyAlignment="1">
      <alignment horizontal="left" vertical="top"/>
    </xf>
    <xf numFmtId="0" fontId="25" fillId="0" borderId="0" xfId="0" applyFont="1" applyBorder="1" applyAlignment="1">
      <alignment vertical="top"/>
    </xf>
    <xf numFmtId="0" fontId="25" fillId="0" borderId="0" xfId="0" applyFont="1" applyFill="1" applyBorder="1" applyAlignment="1">
      <alignment vertical="top"/>
    </xf>
    <xf numFmtId="164" fontId="25" fillId="0" borderId="0" xfId="1" applyNumberFormat="1" applyFont="1" applyBorder="1" applyAlignment="1">
      <alignment vertical="top"/>
    </xf>
    <xf numFmtId="0" fontId="25" fillId="0" borderId="0" xfId="0" applyFont="1" applyFill="1" applyBorder="1" applyAlignment="1">
      <alignment horizontal="center" vertical="top"/>
    </xf>
    <xf numFmtId="0" fontId="0" fillId="4" borderId="8" xfId="0" applyFill="1" applyBorder="1" applyAlignment="1">
      <alignment vertical="top"/>
    </xf>
    <xf numFmtId="0" fontId="0" fillId="4" borderId="9" xfId="0" applyFill="1" applyBorder="1" applyAlignment="1">
      <alignment vertical="top"/>
    </xf>
    <xf numFmtId="0" fontId="25" fillId="7" borderId="1" xfId="0" applyFont="1" applyFill="1" applyBorder="1" applyAlignment="1">
      <alignment vertical="top"/>
    </xf>
    <xf numFmtId="164" fontId="26" fillId="7" borderId="1" xfId="0" applyNumberFormat="1" applyFont="1" applyFill="1" applyBorder="1" applyAlignment="1">
      <alignment vertical="center"/>
    </xf>
    <xf numFmtId="0" fontId="25" fillId="7" borderId="1" xfId="0" applyFont="1" applyFill="1" applyBorder="1" applyAlignment="1">
      <alignment horizontal="center" vertical="top"/>
    </xf>
    <xf numFmtId="0" fontId="25" fillId="0" borderId="5" xfId="0" applyFont="1" applyBorder="1" applyAlignment="1">
      <alignment horizontal="center" vertical="top"/>
    </xf>
    <xf numFmtId="0" fontId="25" fillId="0" borderId="4" xfId="0" applyFont="1" applyBorder="1" applyAlignment="1">
      <alignment vertical="top"/>
    </xf>
    <xf numFmtId="0" fontId="25" fillId="0" borderId="5" xfId="0" applyFont="1" applyBorder="1" applyAlignment="1">
      <alignment horizontal="left" vertical="top"/>
    </xf>
    <xf numFmtId="0" fontId="25" fillId="0" borderId="4" xfId="0" applyFont="1" applyBorder="1" applyAlignment="1">
      <alignment horizontal="left" vertical="top"/>
    </xf>
    <xf numFmtId="0" fontId="25" fillId="6" borderId="1" xfId="0" applyFont="1" applyFill="1" applyBorder="1" applyAlignment="1">
      <alignment vertical="top"/>
    </xf>
    <xf numFmtId="164" fontId="26" fillId="6" borderId="1" xfId="0" applyNumberFormat="1" applyFont="1" applyFill="1" applyBorder="1" applyAlignment="1">
      <alignment vertical="center"/>
    </xf>
    <xf numFmtId="165" fontId="27" fillId="0" borderId="0" xfId="1" applyFont="1"/>
    <xf numFmtId="165" fontId="28" fillId="0" borderId="0" xfId="1" applyFont="1"/>
    <xf numFmtId="165" fontId="29" fillId="0" borderId="0" xfId="1" applyFont="1"/>
    <xf numFmtId="165" fontId="0" fillId="0" borderId="6" xfId="1" applyFont="1" applyBorder="1"/>
    <xf numFmtId="165" fontId="2" fillId="0" borderId="5" xfId="1" applyFont="1" applyBorder="1"/>
    <xf numFmtId="165" fontId="28" fillId="0" borderId="5" xfId="1" applyFont="1" applyBorder="1"/>
    <xf numFmtId="165" fontId="30" fillId="0" borderId="0" xfId="1" applyFont="1"/>
    <xf numFmtId="0" fontId="15" fillId="0" borderId="14" xfId="2" applyFont="1" applyBorder="1" applyAlignment="1">
      <alignment vertical="center"/>
    </xf>
    <xf numFmtId="0" fontId="15" fillId="0" borderId="8" xfId="2" applyFont="1" applyBorder="1" applyAlignment="1">
      <alignment horizontal="center" vertical="center"/>
    </xf>
    <xf numFmtId="0" fontId="15" fillId="0" borderId="8" xfId="2" applyFont="1" applyBorder="1" applyAlignment="1">
      <alignment vertical="center"/>
    </xf>
    <xf numFmtId="0" fontId="15" fillId="0" borderId="8" xfId="2" applyFont="1" applyFill="1" applyBorder="1" applyAlignment="1">
      <alignment horizontal="center" vertical="center"/>
    </xf>
    <xf numFmtId="165" fontId="15" fillId="0" borderId="8" xfId="3" quotePrefix="1" applyFont="1" applyBorder="1" applyAlignment="1">
      <alignment horizontal="center" vertical="center"/>
    </xf>
    <xf numFmtId="0" fontId="15" fillId="0" borderId="12" xfId="2" applyFont="1" applyBorder="1" applyAlignment="1">
      <alignment horizontal="left" vertical="center"/>
    </xf>
    <xf numFmtId="0" fontId="15" fillId="0" borderId="12" xfId="2" applyFont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top"/>
    </xf>
    <xf numFmtId="0" fontId="34" fillId="0" borderId="12" xfId="2" applyFont="1" applyBorder="1" applyAlignment="1">
      <alignment horizontal="center" vertical="center" wrapText="1"/>
    </xf>
    <xf numFmtId="0" fontId="35" fillId="0" borderId="0" xfId="2" applyFont="1">
      <alignment vertical="top"/>
    </xf>
    <xf numFmtId="0" fontId="27" fillId="0" borderId="0" xfId="0" applyFont="1"/>
    <xf numFmtId="0" fontId="36" fillId="0" borderId="0" xfId="2" applyFont="1">
      <alignment vertical="top"/>
    </xf>
    <xf numFmtId="0" fontId="38" fillId="0" borderId="1" xfId="2" applyFont="1" applyBorder="1" applyAlignment="1">
      <alignment horizontal="center" vertical="top"/>
    </xf>
    <xf numFmtId="0" fontId="38" fillId="0" borderId="11" xfId="2" quotePrefix="1" applyFont="1" applyBorder="1" applyAlignment="1">
      <alignment horizontal="center" vertical="center"/>
    </xf>
    <xf numFmtId="0" fontId="38" fillId="0" borderId="12" xfId="2" quotePrefix="1" applyFont="1" applyBorder="1" applyAlignment="1">
      <alignment horizontal="center" vertical="center"/>
    </xf>
    <xf numFmtId="14" fontId="38" fillId="0" borderId="12" xfId="2" quotePrefix="1" applyNumberFormat="1" applyFont="1" applyBorder="1" applyAlignment="1">
      <alignment horizontal="center" vertical="center" wrapText="1"/>
    </xf>
    <xf numFmtId="14" fontId="38" fillId="0" borderId="12" xfId="2" quotePrefix="1" applyNumberFormat="1" applyFont="1" applyBorder="1" applyAlignment="1">
      <alignment horizontal="center" vertical="center"/>
    </xf>
    <xf numFmtId="0" fontId="38" fillId="0" borderId="12" xfId="2" applyFont="1" applyBorder="1" applyAlignment="1">
      <alignment horizontal="center" vertical="center"/>
    </xf>
    <xf numFmtId="0" fontId="38" fillId="0" borderId="14" xfId="2" applyFont="1" applyFill="1" applyBorder="1" applyAlignment="1">
      <alignment horizontal="center" vertical="center"/>
    </xf>
    <xf numFmtId="0" fontId="38" fillId="0" borderId="8" xfId="2" applyFont="1" applyFill="1" applyBorder="1" applyAlignment="1">
      <alignment horizontal="center" vertical="center"/>
    </xf>
    <xf numFmtId="0" fontId="38" fillId="7" borderId="1" xfId="2" applyFont="1" applyFill="1" applyBorder="1" applyAlignment="1">
      <alignment horizontal="center" vertical="center"/>
    </xf>
    <xf numFmtId="0" fontId="38" fillId="0" borderId="0" xfId="2" applyFont="1" applyFill="1" applyBorder="1" applyAlignment="1">
      <alignment horizontal="center" vertical="center"/>
    </xf>
    <xf numFmtId="0" fontId="38" fillId="0" borderId="1" xfId="2" applyFont="1" applyBorder="1">
      <alignment vertical="top"/>
    </xf>
    <xf numFmtId="0" fontId="38" fillId="0" borderId="1" xfId="2" applyFont="1" applyFill="1" applyBorder="1" applyAlignment="1">
      <alignment horizontal="center" vertical="center"/>
    </xf>
    <xf numFmtId="0" fontId="38" fillId="6" borderId="1" xfId="2" applyFont="1" applyFill="1" applyBorder="1">
      <alignment vertical="top"/>
    </xf>
    <xf numFmtId="0" fontId="38" fillId="4" borderId="1" xfId="2" applyFont="1" applyFill="1" applyBorder="1">
      <alignment vertical="top"/>
    </xf>
    <xf numFmtId="0" fontId="15" fillId="0" borderId="25" xfId="2" applyFont="1" applyBorder="1" applyAlignment="1">
      <alignment horizontal="left" vertical="center"/>
    </xf>
    <xf numFmtId="0" fontId="15" fillId="0" borderId="24" xfId="2" applyFont="1" applyBorder="1" applyAlignment="1">
      <alignment horizontal="left" vertical="center"/>
    </xf>
    <xf numFmtId="0" fontId="38" fillId="0" borderId="12" xfId="2" applyFont="1" applyBorder="1" applyAlignment="1">
      <alignment vertical="center"/>
    </xf>
    <xf numFmtId="0" fontId="15" fillId="0" borderId="26" xfId="2" applyFont="1" applyBorder="1" applyAlignment="1">
      <alignment horizontal="center" vertical="center"/>
    </xf>
    <xf numFmtId="0" fontId="15" fillId="0" borderId="26" xfId="2" applyFont="1" applyBorder="1" applyAlignment="1">
      <alignment horizontal="left" vertical="center"/>
    </xf>
    <xf numFmtId="0" fontId="15" fillId="0" borderId="26" xfId="2" applyFont="1" applyBorder="1" applyAlignment="1">
      <alignment vertical="center"/>
    </xf>
    <xf numFmtId="0" fontId="38" fillId="0" borderId="26" xfId="2" quotePrefix="1" applyFont="1" applyBorder="1" applyAlignment="1">
      <alignment horizontal="center" vertical="center"/>
    </xf>
    <xf numFmtId="0" fontId="38" fillId="0" borderId="8" xfId="2" quotePrefix="1" applyFont="1" applyFill="1" applyBorder="1" applyAlignment="1">
      <alignment horizontal="center" vertical="center"/>
    </xf>
    <xf numFmtId="0" fontId="15" fillId="0" borderId="4" xfId="2" applyFont="1" applyBorder="1" applyAlignment="1">
      <alignment vertical="top"/>
    </xf>
    <xf numFmtId="0" fontId="15" fillId="0" borderId="5" xfId="2" applyFont="1" applyBorder="1" applyAlignment="1">
      <alignment vertical="top" wrapText="1"/>
    </xf>
    <xf numFmtId="0" fontId="8" fillId="0" borderId="5" xfId="2" applyFill="1" applyBorder="1" applyAlignment="1">
      <alignment wrapText="1"/>
    </xf>
    <xf numFmtId="0" fontId="39" fillId="0" borderId="0" xfId="2" applyFont="1">
      <alignment vertical="top"/>
    </xf>
    <xf numFmtId="164" fontId="35" fillId="0" borderId="1" xfId="2" applyNumberFormat="1" applyFont="1" applyBorder="1" applyAlignment="1">
      <alignment horizontal="center" vertical="center"/>
    </xf>
    <xf numFmtId="0" fontId="8" fillId="0" borderId="1" xfId="2" applyBorder="1" applyAlignment="1">
      <alignment horizontal="center" vertical="center"/>
    </xf>
    <xf numFmtId="0" fontId="35" fillId="0" borderId="1" xfId="2" applyFont="1" applyBorder="1" applyAlignment="1">
      <alignment horizontal="center" vertical="center"/>
    </xf>
    <xf numFmtId="0" fontId="35" fillId="0" borderId="1" xfId="2" quotePrefix="1" applyFont="1" applyBorder="1" applyAlignment="1">
      <alignment horizontal="center" vertical="center"/>
    </xf>
    <xf numFmtId="0" fontId="35" fillId="7" borderId="1" xfId="2" applyFont="1" applyFill="1" applyBorder="1" applyAlignment="1">
      <alignment horizontal="center" vertical="center"/>
    </xf>
    <xf numFmtId="0" fontId="35" fillId="0" borderId="1" xfId="2" applyFont="1" applyBorder="1">
      <alignment vertical="top"/>
    </xf>
    <xf numFmtId="0" fontId="35" fillId="0" borderId="1" xfId="2" quotePrefix="1" applyFont="1" applyBorder="1">
      <alignment vertical="top"/>
    </xf>
    <xf numFmtId="0" fontId="35" fillId="6" borderId="1" xfId="2" applyFont="1" applyFill="1" applyBorder="1">
      <alignment vertical="top"/>
    </xf>
    <xf numFmtId="164" fontId="7" fillId="0" borderId="1" xfId="2" applyNumberFormat="1" applyFont="1" applyBorder="1" applyAlignment="1">
      <alignment horizontal="center" vertical="center"/>
    </xf>
    <xf numFmtId="0" fontId="7" fillId="0" borderId="5" xfId="2" applyFont="1" applyBorder="1" applyAlignment="1">
      <alignment horizontal="left" vertical="top" wrapText="1"/>
    </xf>
    <xf numFmtId="0" fontId="7" fillId="0" borderId="4" xfId="2" applyFont="1" applyBorder="1" applyAlignment="1">
      <alignment horizontal="left" vertical="top" wrapText="1"/>
    </xf>
    <xf numFmtId="0" fontId="7" fillId="0" borderId="1" xfId="2" applyFont="1" applyBorder="1" applyAlignment="1">
      <alignment horizontal="center" vertical="top"/>
    </xf>
    <xf numFmtId="0" fontId="7" fillId="0" borderId="1" xfId="2" applyFont="1" applyBorder="1" applyAlignment="1">
      <alignment vertical="center"/>
    </xf>
    <xf numFmtId="0" fontId="35" fillId="0" borderId="1" xfId="2" applyFont="1" applyBorder="1" applyAlignment="1">
      <alignment vertical="center"/>
    </xf>
    <xf numFmtId="0" fontId="9" fillId="0" borderId="0" xfId="2" applyFont="1" applyAlignment="1">
      <alignment horizontal="center" vertical="top"/>
    </xf>
    <xf numFmtId="0" fontId="5" fillId="5" borderId="1" xfId="0" quotePrefix="1" applyFont="1" applyFill="1" applyBorder="1" applyAlignment="1">
      <alignment vertical="center"/>
    </xf>
    <xf numFmtId="0" fontId="15" fillId="0" borderId="12" xfId="2" applyFont="1" applyBorder="1" applyAlignment="1">
      <alignment horizontal="left" vertical="center"/>
    </xf>
    <xf numFmtId="0" fontId="7" fillId="0" borderId="1" xfId="2" applyFont="1" applyBorder="1" applyAlignment="1">
      <alignment horizontal="center" vertical="top"/>
    </xf>
    <xf numFmtId="0" fontId="17" fillId="0" borderId="0" xfId="2" applyFont="1" applyAlignment="1">
      <alignment vertical="center"/>
    </xf>
    <xf numFmtId="165" fontId="7" fillId="0" borderId="0" xfId="4" applyFont="1" applyAlignment="1">
      <alignment vertical="center"/>
    </xf>
    <xf numFmtId="0" fontId="7" fillId="6" borderId="1" xfId="2" applyFont="1" applyFill="1" applyBorder="1" applyAlignment="1">
      <alignment vertical="center"/>
    </xf>
    <xf numFmtId="0" fontId="7" fillId="0" borderId="0" xfId="2" applyFont="1" applyAlignment="1">
      <alignment vertical="center"/>
    </xf>
    <xf numFmtId="0" fontId="4" fillId="0" borderId="0" xfId="0" applyFont="1" applyAlignment="1">
      <alignment vertical="center"/>
    </xf>
    <xf numFmtId="0" fontId="39" fillId="0" borderId="0" xfId="2" applyFont="1" applyAlignment="1">
      <alignment vertical="center"/>
    </xf>
    <xf numFmtId="0" fontId="35" fillId="6" borderId="1" xfId="2" applyFont="1" applyFill="1" applyBorder="1" applyAlignment="1">
      <alignment vertical="center"/>
    </xf>
    <xf numFmtId="0" fontId="35" fillId="0" borderId="0" xfId="2" applyFont="1" applyAlignment="1">
      <alignment vertical="center"/>
    </xf>
    <xf numFmtId="0" fontId="27" fillId="0" borderId="0" xfId="0" applyFont="1" applyAlignment="1">
      <alignment vertical="center"/>
    </xf>
    <xf numFmtId="0" fontId="7" fillId="0" borderId="1" xfId="2" quotePrefix="1" applyFont="1" applyBorder="1" applyAlignment="1">
      <alignment horizontal="center" vertical="center"/>
    </xf>
    <xf numFmtId="0" fontId="7" fillId="0" borderId="1" xfId="2" applyFont="1" applyBorder="1" applyAlignment="1">
      <alignment vertical="center"/>
    </xf>
    <xf numFmtId="0" fontId="7" fillId="0" borderId="1" xfId="2" applyFont="1" applyBorder="1" applyAlignment="1">
      <alignment horizontal="center" vertical="top"/>
    </xf>
    <xf numFmtId="0" fontId="7" fillId="0" borderId="1" xfId="2" applyFont="1" applyBorder="1" applyAlignment="1">
      <alignment vertical="center"/>
    </xf>
    <xf numFmtId="164" fontId="7" fillId="5" borderId="1" xfId="2" applyNumberFormat="1" applyFont="1" applyFill="1" applyBorder="1" applyAlignment="1">
      <alignment horizontal="center" vertical="center"/>
    </xf>
    <xf numFmtId="0" fontId="7" fillId="0" borderId="1" xfId="2" applyFont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 wrapText="1"/>
    </xf>
    <xf numFmtId="0" fontId="4" fillId="4" borderId="8" xfId="0" quotePrefix="1" applyFont="1" applyFill="1" applyBorder="1" applyAlignment="1">
      <alignment horizontal="left" vertical="center" wrapText="1"/>
    </xf>
    <xf numFmtId="165" fontId="4" fillId="0" borderId="20" xfId="1" applyFont="1" applyBorder="1"/>
    <xf numFmtId="165" fontId="4" fillId="0" borderId="20" xfId="1" applyFont="1" applyBorder="1" applyAlignment="1">
      <alignment vertical="center"/>
    </xf>
    <xf numFmtId="0" fontId="4" fillId="4" borderId="9" xfId="0" applyFont="1" applyFill="1" applyBorder="1"/>
    <xf numFmtId="0" fontId="4" fillId="0" borderId="0" xfId="0" applyFont="1" applyBorder="1"/>
    <xf numFmtId="165" fontId="4" fillId="0" borderId="18" xfId="1" applyFont="1" applyBorder="1"/>
    <xf numFmtId="164" fontId="5" fillId="5" borderId="1" xfId="0" applyNumberFormat="1" applyFont="1" applyFill="1" applyBorder="1" applyAlignment="1">
      <alignment horizontal="right" vertical="center"/>
    </xf>
    <xf numFmtId="165" fontId="4" fillId="0" borderId="1" xfId="1" applyFont="1" applyBorder="1"/>
    <xf numFmtId="165" fontId="4" fillId="0" borderId="22" xfId="1" applyFont="1" applyBorder="1"/>
    <xf numFmtId="165" fontId="15" fillId="5" borderId="1" xfId="3" applyFont="1" applyFill="1" applyBorder="1" applyAlignment="1">
      <alignment horizontal="center" vertical="center"/>
    </xf>
    <xf numFmtId="165" fontId="15" fillId="5" borderId="11" xfId="3" quotePrefix="1" applyFont="1" applyFill="1" applyBorder="1" applyAlignment="1">
      <alignment horizontal="center" vertical="center"/>
    </xf>
    <xf numFmtId="165" fontId="15" fillId="5" borderId="26" xfId="3" quotePrefix="1" applyFont="1" applyFill="1" applyBorder="1" applyAlignment="1">
      <alignment horizontal="center" vertical="center"/>
    </xf>
    <xf numFmtId="165" fontId="15" fillId="5" borderId="12" xfId="3" quotePrefix="1" applyFont="1" applyFill="1" applyBorder="1" applyAlignment="1">
      <alignment horizontal="center" vertical="center"/>
    </xf>
    <xf numFmtId="165" fontId="15" fillId="5" borderId="14" xfId="3" quotePrefix="1" applyFont="1" applyFill="1" applyBorder="1" applyAlignment="1">
      <alignment horizontal="center" vertical="center"/>
    </xf>
    <xf numFmtId="165" fontId="15" fillId="5" borderId="8" xfId="3" quotePrefix="1" applyFont="1" applyFill="1" applyBorder="1" applyAlignment="1">
      <alignment horizontal="center" vertical="center"/>
    </xf>
    <xf numFmtId="165" fontId="41" fillId="0" borderId="1" xfId="1" applyFont="1" applyBorder="1"/>
    <xf numFmtId="0" fontId="15" fillId="0" borderId="4" xfId="2" applyFont="1" applyBorder="1" applyAlignment="1">
      <alignment vertical="top"/>
    </xf>
    <xf numFmtId="0" fontId="7" fillId="0" borderId="1" xfId="2" applyFont="1" applyBorder="1" applyAlignment="1">
      <alignment vertical="center"/>
    </xf>
    <xf numFmtId="0" fontId="7" fillId="0" borderId="1" xfId="2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42" fillId="0" borderId="0" xfId="0" applyFont="1"/>
    <xf numFmtId="0" fontId="7" fillId="5" borderId="0" xfId="2" applyFont="1" applyFill="1">
      <alignment vertical="top"/>
    </xf>
    <xf numFmtId="0" fontId="7" fillId="5" borderId="2" xfId="2" applyFont="1" applyFill="1" applyBorder="1">
      <alignment vertical="top"/>
    </xf>
    <xf numFmtId="0" fontId="7" fillId="5" borderId="8" xfId="2" applyFont="1" applyFill="1" applyBorder="1">
      <alignment vertical="top"/>
    </xf>
    <xf numFmtId="0" fontId="7" fillId="5" borderId="9" xfId="2" applyFont="1" applyFill="1" applyBorder="1">
      <alignment vertical="top"/>
    </xf>
    <xf numFmtId="0" fontId="7" fillId="5" borderId="0" xfId="2" applyFont="1" applyFill="1" applyBorder="1">
      <alignment vertical="top"/>
    </xf>
    <xf numFmtId="0" fontId="7" fillId="5" borderId="17" xfId="2" applyFont="1" applyFill="1" applyBorder="1">
      <alignment vertical="top"/>
    </xf>
    <xf numFmtId="0" fontId="4" fillId="5" borderId="0" xfId="0" applyFont="1" applyFill="1"/>
    <xf numFmtId="164" fontId="18" fillId="6" borderId="1" xfId="2" applyNumberFormat="1" applyFont="1" applyFill="1" applyBorder="1" applyAlignment="1">
      <alignment horizontal="right" vertical="top"/>
    </xf>
    <xf numFmtId="164" fontId="18" fillId="7" borderId="1" xfId="2" applyNumberFormat="1" applyFont="1" applyFill="1" applyBorder="1" applyAlignment="1">
      <alignment horizontal="center" vertical="center"/>
    </xf>
    <xf numFmtId="166" fontId="7" fillId="0" borderId="0" xfId="8" applyNumberFormat="1" applyFont="1" applyFill="1" applyBorder="1" applyAlignment="1">
      <alignment vertical="top"/>
    </xf>
    <xf numFmtId="167" fontId="7" fillId="5" borderId="0" xfId="9" applyNumberFormat="1" applyFill="1" applyAlignment="1">
      <alignment vertical="center"/>
    </xf>
    <xf numFmtId="164" fontId="20" fillId="5" borderId="1" xfId="4" applyNumberFormat="1" applyFont="1" applyFill="1" applyBorder="1" applyAlignment="1">
      <alignment horizontal="center" vertical="center"/>
    </xf>
    <xf numFmtId="164" fontId="43" fillId="0" borderId="1" xfId="1" applyNumberFormat="1" applyFont="1" applyBorder="1" applyAlignment="1">
      <alignment horizontal="left" vertical="center"/>
    </xf>
    <xf numFmtId="0" fontId="15" fillId="0" borderId="4" xfId="2" applyFont="1" applyBorder="1" applyAlignment="1">
      <alignment vertical="top"/>
    </xf>
    <xf numFmtId="0" fontId="38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vertical="center"/>
    </xf>
    <xf numFmtId="0" fontId="7" fillId="0" borderId="1" xfId="2" applyFont="1" applyBorder="1" applyAlignment="1">
      <alignment horizontal="center" vertical="top"/>
    </xf>
    <xf numFmtId="0" fontId="8" fillId="0" borderId="1" xfId="2" applyBorder="1" applyAlignment="1">
      <alignment horizontal="center" vertical="center"/>
    </xf>
    <xf numFmtId="0" fontId="8" fillId="0" borderId="0" xfId="2" applyAlignment="1">
      <alignment horizontal="center" vertical="top"/>
    </xf>
    <xf numFmtId="0" fontId="25" fillId="0" borderId="5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/>
    </xf>
    <xf numFmtId="0" fontId="25" fillId="0" borderId="4" xfId="0" applyFont="1" applyBorder="1" applyAlignment="1">
      <alignment vertical="center"/>
    </xf>
    <xf numFmtId="0" fontId="25" fillId="0" borderId="1" xfId="0" applyFont="1" applyBorder="1" applyAlignment="1">
      <alignment vertical="center"/>
    </xf>
    <xf numFmtId="0" fontId="25" fillId="0" borderId="1" xfId="0" applyFont="1" applyFill="1" applyBorder="1" applyAlignment="1">
      <alignment vertical="center"/>
    </xf>
    <xf numFmtId="0" fontId="25" fillId="0" borderId="1" xfId="0" applyFont="1" applyFill="1" applyBorder="1" applyAlignment="1">
      <alignment horizontal="center" vertical="center"/>
    </xf>
    <xf numFmtId="165" fontId="4" fillId="0" borderId="20" xfId="1" applyFont="1" applyBorder="1" applyAlignment="1">
      <alignment wrapText="1"/>
    </xf>
    <xf numFmtId="0" fontId="25" fillId="0" borderId="5" xfId="0" applyFont="1" applyBorder="1" applyAlignment="1">
      <alignment horizontal="center" vertical="center"/>
    </xf>
    <xf numFmtId="164" fontId="25" fillId="0" borderId="1" xfId="1" applyNumberFormat="1" applyFont="1" applyBorder="1" applyAlignment="1">
      <alignment vertical="center"/>
    </xf>
    <xf numFmtId="165" fontId="4" fillId="0" borderId="18" xfId="1" applyFont="1" applyBorder="1" applyAlignment="1">
      <alignment vertical="center" wrapText="1"/>
    </xf>
    <xf numFmtId="0" fontId="7" fillId="4" borderId="0" xfId="2" applyFont="1" applyFill="1" applyBorder="1">
      <alignment vertical="top"/>
    </xf>
    <xf numFmtId="0" fontId="7" fillId="4" borderId="4" xfId="2" applyFont="1" applyFill="1" applyBorder="1">
      <alignment vertical="top"/>
    </xf>
    <xf numFmtId="0" fontId="18" fillId="5" borderId="0" xfId="2" applyFont="1" applyFill="1" applyBorder="1" applyAlignment="1">
      <alignment horizontal="center" vertical="top"/>
    </xf>
    <xf numFmtId="0" fontId="35" fillId="5" borderId="0" xfId="2" applyFont="1" applyFill="1" applyBorder="1">
      <alignment vertical="top"/>
    </xf>
    <xf numFmtId="0" fontId="35" fillId="5" borderId="0" xfId="2" applyFont="1" applyFill="1" applyBorder="1" applyAlignment="1">
      <alignment vertical="center"/>
    </xf>
    <xf numFmtId="0" fontId="7" fillId="5" borderId="0" xfId="2" applyFont="1" applyFill="1" applyBorder="1" applyAlignment="1">
      <alignment vertical="center"/>
    </xf>
    <xf numFmtId="164" fontId="18" fillId="5" borderId="0" xfId="2" applyNumberFormat="1" applyFont="1" applyFill="1" applyBorder="1">
      <alignment vertical="top"/>
    </xf>
    <xf numFmtId="0" fontId="7" fillId="5" borderId="4" xfId="2" applyFont="1" applyFill="1" applyBorder="1">
      <alignment vertical="top"/>
    </xf>
    <xf numFmtId="168" fontId="1" fillId="0" borderId="1" xfId="0" applyNumberFormat="1" applyFont="1" applyBorder="1" applyAlignment="1">
      <alignment vertical="center"/>
    </xf>
    <xf numFmtId="0" fontId="7" fillId="4" borderId="8" xfId="2" applyFont="1" applyFill="1" applyBorder="1" applyAlignment="1">
      <alignment vertical="center"/>
    </xf>
    <xf numFmtId="169" fontId="1" fillId="0" borderId="1" xfId="0" applyNumberFormat="1" applyFont="1" applyBorder="1" applyAlignment="1">
      <alignment vertical="center"/>
    </xf>
    <xf numFmtId="169" fontId="1" fillId="12" borderId="1" xfId="10" applyNumberFormat="1" applyFont="1" applyFill="1" applyBorder="1" applyAlignment="1">
      <alignment horizontal="right" vertical="center"/>
    </xf>
    <xf numFmtId="169" fontId="1" fillId="12" borderId="0" xfId="10" applyNumberFormat="1" applyFont="1" applyFill="1" applyAlignment="1">
      <alignment horizontal="right" vertical="center"/>
    </xf>
    <xf numFmtId="169" fontId="4" fillId="12" borderId="2" xfId="10" applyNumberFormat="1" applyFont="1" applyFill="1" applyBorder="1" applyAlignment="1">
      <alignment horizontal="center" vertical="center"/>
    </xf>
    <xf numFmtId="169" fontId="12" fillId="0" borderId="1" xfId="8" applyNumberFormat="1" applyFont="1" applyBorder="1" applyAlignment="1">
      <alignment horizontal="right" vertical="center"/>
    </xf>
    <xf numFmtId="169" fontId="20" fillId="0" borderId="1" xfId="1" applyNumberFormat="1" applyFont="1" applyBorder="1" applyAlignment="1">
      <alignment vertical="center"/>
    </xf>
    <xf numFmtId="0" fontId="7" fillId="5" borderId="1" xfId="2" applyFont="1" applyFill="1" applyBorder="1" applyAlignment="1">
      <alignment horizontal="center" vertical="top"/>
    </xf>
    <xf numFmtId="0" fontId="7" fillId="5" borderId="1" xfId="2" applyFont="1" applyFill="1" applyBorder="1">
      <alignment vertical="top"/>
    </xf>
    <xf numFmtId="0" fontId="35" fillId="5" borderId="1" xfId="2" applyFont="1" applyFill="1" applyBorder="1">
      <alignment vertical="top"/>
    </xf>
    <xf numFmtId="0" fontId="35" fillId="5" borderId="1" xfId="2" applyFont="1" applyFill="1" applyBorder="1" applyAlignment="1">
      <alignment vertical="center"/>
    </xf>
    <xf numFmtId="0" fontId="7" fillId="5" borderId="1" xfId="2" applyFont="1" applyFill="1" applyBorder="1" applyAlignment="1">
      <alignment vertical="center"/>
    </xf>
    <xf numFmtId="164" fontId="18" fillId="5" borderId="1" xfId="2" applyNumberFormat="1" applyFont="1" applyFill="1" applyBorder="1" applyAlignment="1">
      <alignment horizontal="right" vertical="top"/>
    </xf>
    <xf numFmtId="164" fontId="18" fillId="5" borderId="1" xfId="2" applyNumberFormat="1" applyFont="1" applyFill="1" applyBorder="1">
      <alignment vertical="top"/>
    </xf>
    <xf numFmtId="0" fontId="7" fillId="13" borderId="1" xfId="2" applyFont="1" applyFill="1" applyBorder="1" applyAlignment="1">
      <alignment horizontal="center" vertical="top"/>
    </xf>
    <xf numFmtId="0" fontId="7" fillId="13" borderId="1" xfId="2" applyFont="1" applyFill="1" applyBorder="1">
      <alignment vertical="top"/>
    </xf>
    <xf numFmtId="0" fontId="35" fillId="13" borderId="1" xfId="2" applyFont="1" applyFill="1" applyBorder="1">
      <alignment vertical="top"/>
    </xf>
    <xf numFmtId="0" fontId="35" fillId="13" borderId="1" xfId="2" applyFont="1" applyFill="1" applyBorder="1" applyAlignment="1">
      <alignment vertical="center"/>
    </xf>
    <xf numFmtId="0" fontId="7" fillId="13" borderId="1" xfId="2" applyFont="1" applyFill="1" applyBorder="1" applyAlignment="1">
      <alignment vertical="center"/>
    </xf>
    <xf numFmtId="164" fontId="18" fillId="13" borderId="1" xfId="2" applyNumberFormat="1" applyFont="1" applyFill="1" applyBorder="1" applyAlignment="1">
      <alignment horizontal="right" vertical="top"/>
    </xf>
    <xf numFmtId="0" fontId="25" fillId="5" borderId="1" xfId="0" applyFont="1" applyFill="1" applyBorder="1" applyAlignment="1">
      <alignment vertical="top"/>
    </xf>
    <xf numFmtId="164" fontId="26" fillId="5" borderId="1" xfId="0" applyNumberFormat="1" applyFont="1" applyFill="1" applyBorder="1" applyAlignment="1">
      <alignment vertical="center"/>
    </xf>
    <xf numFmtId="0" fontId="25" fillId="13" borderId="1" xfId="0" applyFont="1" applyFill="1" applyBorder="1" applyAlignment="1">
      <alignment vertical="top"/>
    </xf>
    <xf numFmtId="164" fontId="26" fillId="13" borderId="1" xfId="0" applyNumberFormat="1" applyFont="1" applyFill="1" applyBorder="1" applyAlignment="1">
      <alignment vertical="center"/>
    </xf>
    <xf numFmtId="0" fontId="15" fillId="5" borderId="1" xfId="2" applyFont="1" applyFill="1" applyBorder="1" applyAlignment="1">
      <alignment horizontal="center" vertical="center"/>
    </xf>
    <xf numFmtId="0" fontId="15" fillId="5" borderId="1" xfId="2" applyFont="1" applyFill="1" applyBorder="1" applyAlignment="1">
      <alignment horizontal="center" vertical="top"/>
    </xf>
    <xf numFmtId="0" fontId="15" fillId="5" borderId="1" xfId="2" applyFont="1" applyFill="1" applyBorder="1">
      <alignment vertical="top"/>
    </xf>
    <xf numFmtId="0" fontId="38" fillId="5" borderId="1" xfId="2" applyFont="1" applyFill="1" applyBorder="1">
      <alignment vertical="top"/>
    </xf>
    <xf numFmtId="165" fontId="14" fillId="5" borderId="1" xfId="2" applyNumberFormat="1" applyFont="1" applyFill="1" applyBorder="1" applyAlignment="1">
      <alignment horizontal="center" vertical="center"/>
    </xf>
    <xf numFmtId="0" fontId="15" fillId="13" borderId="5" xfId="2" applyFont="1" applyFill="1" applyBorder="1" applyAlignment="1">
      <alignment horizontal="center" vertical="center"/>
    </xf>
    <xf numFmtId="0" fontId="15" fillId="13" borderId="1" xfId="2" applyFont="1" applyFill="1" applyBorder="1" applyAlignment="1">
      <alignment horizontal="center" vertical="top"/>
    </xf>
    <xf numFmtId="0" fontId="15" fillId="13" borderId="1" xfId="2" applyFont="1" applyFill="1" applyBorder="1">
      <alignment vertical="top"/>
    </xf>
    <xf numFmtId="0" fontId="38" fillId="13" borderId="1" xfId="2" applyFont="1" applyFill="1" applyBorder="1">
      <alignment vertical="top"/>
    </xf>
    <xf numFmtId="165" fontId="14" fillId="13" borderId="1" xfId="2" applyNumberFormat="1" applyFont="1" applyFill="1" applyBorder="1" applyAlignment="1">
      <alignment horizontal="center" vertical="center"/>
    </xf>
    <xf numFmtId="0" fontId="0" fillId="0" borderId="1" xfId="0" applyBorder="1"/>
    <xf numFmtId="0" fontId="21" fillId="0" borderId="1" xfId="0" applyFont="1" applyBorder="1" applyAlignment="1">
      <alignment horizontal="center" vertical="center"/>
    </xf>
    <xf numFmtId="166" fontId="3" fillId="0" borderId="1" xfId="8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6" fontId="21" fillId="0" borderId="1" xfId="0" applyNumberFormat="1" applyFont="1" applyBorder="1" applyAlignment="1">
      <alignment vertical="center"/>
    </xf>
    <xf numFmtId="0" fontId="15" fillId="0" borderId="1" xfId="2" applyFont="1" applyBorder="1" applyAlignment="1">
      <alignment vertical="center"/>
    </xf>
    <xf numFmtId="0" fontId="15" fillId="0" borderId="1" xfId="2" applyFont="1" applyBorder="1" applyAlignment="1">
      <alignment vertical="center" wrapText="1"/>
    </xf>
    <xf numFmtId="0" fontId="7" fillId="4" borderId="8" xfId="2" applyFont="1" applyFill="1" applyBorder="1" applyAlignment="1">
      <alignment vertical="top" wrapText="1"/>
    </xf>
    <xf numFmtId="165" fontId="4" fillId="0" borderId="18" xfId="1" applyFont="1" applyBorder="1" applyAlignment="1">
      <alignment wrapText="1"/>
    </xf>
    <xf numFmtId="164" fontId="25" fillId="5" borderId="1" xfId="1" applyNumberFormat="1" applyFont="1" applyFill="1" applyBorder="1" applyAlignment="1">
      <alignment vertical="center"/>
    </xf>
    <xf numFmtId="165" fontId="4" fillId="4" borderId="20" xfId="1" applyFont="1" applyFill="1" applyBorder="1"/>
    <xf numFmtId="168" fontId="7" fillId="0" borderId="0" xfId="2" applyNumberFormat="1" applyFont="1" applyFill="1" applyBorder="1">
      <alignment vertical="top"/>
    </xf>
    <xf numFmtId="0" fontId="8" fillId="13" borderId="1" xfId="2" applyFill="1" applyBorder="1" applyAlignment="1">
      <alignment vertical="center"/>
    </xf>
    <xf numFmtId="164" fontId="10" fillId="13" borderId="1" xfId="2" applyNumberFormat="1" applyFont="1" applyFill="1" applyBorder="1" applyAlignment="1">
      <alignment horizontal="center" vertical="center"/>
    </xf>
    <xf numFmtId="0" fontId="8" fillId="13" borderId="1" xfId="2" applyFill="1" applyBorder="1" applyAlignment="1">
      <alignment horizontal="center" vertical="center"/>
    </xf>
    <xf numFmtId="0" fontId="14" fillId="5" borderId="5" xfId="2" applyFont="1" applyFill="1" applyBorder="1" applyAlignment="1">
      <alignment horizontal="center" vertical="center"/>
    </xf>
    <xf numFmtId="0" fontId="14" fillId="5" borderId="4" xfId="2" applyFont="1" applyFill="1" applyBorder="1" applyAlignment="1">
      <alignment horizontal="center" vertical="center"/>
    </xf>
    <xf numFmtId="0" fontId="26" fillId="5" borderId="15" xfId="0" applyFont="1" applyFill="1" applyBorder="1" applyAlignment="1">
      <alignment horizontal="center" vertical="center"/>
    </xf>
    <xf numFmtId="0" fontId="26" fillId="5" borderId="4" xfId="0" applyFont="1" applyFill="1" applyBorder="1" applyAlignment="1">
      <alignment horizontal="center" vertical="center"/>
    </xf>
    <xf numFmtId="0" fontId="18" fillId="5" borderId="15" xfId="2" applyFont="1" applyFill="1" applyBorder="1" applyAlignment="1">
      <alignment horizontal="center" vertical="top"/>
    </xf>
    <xf numFmtId="0" fontId="18" fillId="5" borderId="4" xfId="2" applyFont="1" applyFill="1" applyBorder="1" applyAlignment="1">
      <alignment horizontal="center" vertical="top"/>
    </xf>
    <xf numFmtId="0" fontId="15" fillId="5" borderId="5" xfId="2" applyFont="1" applyFill="1" applyBorder="1" applyAlignment="1">
      <alignment horizontal="center" vertical="center"/>
    </xf>
    <xf numFmtId="0" fontId="15" fillId="5" borderId="0" xfId="2" applyFont="1" applyFill="1" applyBorder="1" applyAlignment="1">
      <alignment horizontal="center" vertical="center"/>
    </xf>
    <xf numFmtId="0" fontId="14" fillId="5" borderId="0" xfId="2" applyFont="1" applyFill="1" applyBorder="1" applyAlignment="1">
      <alignment horizontal="center" vertical="center"/>
    </xf>
    <xf numFmtId="0" fontId="15" fillId="5" borderId="0" xfId="2" applyFont="1" applyFill="1" applyBorder="1" applyAlignment="1">
      <alignment horizontal="center" vertical="top"/>
    </xf>
    <xf numFmtId="0" fontId="15" fillId="5" borderId="0" xfId="2" applyFont="1" applyFill="1" applyBorder="1">
      <alignment vertical="top"/>
    </xf>
    <xf numFmtId="0" fontId="38" fillId="5" borderId="0" xfId="2" applyFont="1" applyFill="1" applyBorder="1">
      <alignment vertical="top"/>
    </xf>
    <xf numFmtId="165" fontId="14" fillId="5" borderId="0" xfId="2" applyNumberFormat="1" applyFont="1" applyFill="1" applyBorder="1" applyAlignment="1">
      <alignment horizontal="center" vertical="center"/>
    </xf>
    <xf numFmtId="0" fontId="38" fillId="5" borderId="1" xfId="2" applyFont="1" applyFill="1" applyBorder="1" applyAlignment="1">
      <alignment horizontal="center" vertical="center"/>
    </xf>
    <xf numFmtId="0" fontId="15" fillId="14" borderId="5" xfId="2" applyFont="1" applyFill="1" applyBorder="1" applyAlignment="1">
      <alignment horizontal="center" vertical="center"/>
    </xf>
    <xf numFmtId="0" fontId="15" fillId="14" borderId="1" xfId="2" applyFont="1" applyFill="1" applyBorder="1" applyAlignment="1">
      <alignment horizontal="center" vertical="top"/>
    </xf>
    <xf numFmtId="0" fontId="15" fillId="14" borderId="1" xfId="2" applyFont="1" applyFill="1" applyBorder="1">
      <alignment vertical="top"/>
    </xf>
    <xf numFmtId="0" fontId="38" fillId="14" borderId="1" xfId="2" applyFont="1" applyFill="1" applyBorder="1">
      <alignment vertical="top"/>
    </xf>
    <xf numFmtId="165" fontId="14" fillId="14" borderId="1" xfId="2" applyNumberFormat="1" applyFont="1" applyFill="1" applyBorder="1" applyAlignment="1">
      <alignment horizontal="center" vertical="center"/>
    </xf>
    <xf numFmtId="165" fontId="15" fillId="5" borderId="1" xfId="2" applyNumberFormat="1" applyFont="1" applyFill="1" applyBorder="1" applyAlignment="1">
      <alignment horizontal="center" vertical="center"/>
    </xf>
    <xf numFmtId="0" fontId="25" fillId="5" borderId="5" xfId="0" applyFont="1" applyFill="1" applyBorder="1" applyAlignment="1">
      <alignment vertical="top"/>
    </xf>
    <xf numFmtId="0" fontId="11" fillId="5" borderId="0" xfId="2" applyFont="1" applyFill="1" applyAlignment="1">
      <alignment horizontal="center" vertical="top"/>
    </xf>
    <xf numFmtId="0" fontId="11" fillId="5" borderId="1" xfId="2" applyFont="1" applyFill="1" applyBorder="1" applyAlignment="1">
      <alignment horizontal="center" vertical="top"/>
    </xf>
    <xf numFmtId="0" fontId="11" fillId="5" borderId="5" xfId="2" applyFont="1" applyFill="1" applyBorder="1" applyAlignment="1">
      <alignment horizontal="center" vertical="top"/>
    </xf>
    <xf numFmtId="0" fontId="11" fillId="5" borderId="10" xfId="2" applyFont="1" applyFill="1" applyBorder="1" applyAlignment="1">
      <alignment horizontal="center" vertical="top"/>
    </xf>
    <xf numFmtId="0" fontId="11" fillId="5" borderId="16" xfId="2" applyFont="1" applyFill="1" applyBorder="1" applyAlignment="1">
      <alignment horizontal="center" vertical="top"/>
    </xf>
    <xf numFmtId="0" fontId="11" fillId="5" borderId="9" xfId="2" applyFont="1" applyFill="1" applyBorder="1" applyAlignment="1">
      <alignment horizontal="center" vertical="top"/>
    </xf>
    <xf numFmtId="0" fontId="25" fillId="9" borderId="5" xfId="0" applyFont="1" applyFill="1" applyBorder="1" applyAlignment="1">
      <alignment vertical="top"/>
    </xf>
    <xf numFmtId="0" fontId="26" fillId="9" borderId="5" xfId="0" applyFont="1" applyFill="1" applyBorder="1" applyAlignment="1">
      <alignment horizontal="center" vertical="center"/>
    </xf>
    <xf numFmtId="0" fontId="26" fillId="9" borderId="16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vertical="top"/>
    </xf>
    <xf numFmtId="164" fontId="26" fillId="9" borderId="1" xfId="0" applyNumberFormat="1" applyFont="1" applyFill="1" applyBorder="1" applyAlignment="1">
      <alignment vertical="center"/>
    </xf>
    <xf numFmtId="0" fontId="7" fillId="3" borderId="1" xfId="2" applyFont="1" applyFill="1" applyBorder="1">
      <alignment vertical="top"/>
    </xf>
    <xf numFmtId="164" fontId="7" fillId="5" borderId="1" xfId="2" applyNumberFormat="1" applyFont="1" applyFill="1" applyBorder="1" applyAlignment="1">
      <alignment horizontal="right" vertical="top"/>
    </xf>
    <xf numFmtId="0" fontId="7" fillId="5" borderId="1" xfId="2" applyFont="1" applyFill="1" applyBorder="1" applyAlignment="1">
      <alignment vertical="top" wrapText="1"/>
    </xf>
    <xf numFmtId="0" fontId="7" fillId="5" borderId="1" xfId="2" applyFont="1" applyFill="1" applyBorder="1" applyAlignment="1">
      <alignment horizontal="center" vertical="center"/>
    </xf>
    <xf numFmtId="164" fontId="7" fillId="5" borderId="1" xfId="2" applyNumberFormat="1" applyFont="1" applyFill="1" applyBorder="1" applyAlignment="1">
      <alignment horizontal="right" vertical="center"/>
    </xf>
    <xf numFmtId="0" fontId="0" fillId="0" borderId="0" xfId="0" applyBorder="1" applyAlignment="1">
      <alignment vertical="top"/>
    </xf>
    <xf numFmtId="0" fontId="0" fillId="0" borderId="1" xfId="0" applyBorder="1" applyAlignment="1">
      <alignment vertical="top"/>
    </xf>
    <xf numFmtId="0" fontId="7" fillId="9" borderId="1" xfId="2" applyFont="1" applyFill="1" applyBorder="1" applyAlignment="1">
      <alignment horizontal="center" vertical="top"/>
    </xf>
    <xf numFmtId="0" fontId="7" fillId="9" borderId="1" xfId="2" applyFont="1" applyFill="1" applyBorder="1">
      <alignment vertical="top"/>
    </xf>
    <xf numFmtId="0" fontId="35" fillId="9" borderId="1" xfId="2" applyFont="1" applyFill="1" applyBorder="1">
      <alignment vertical="top"/>
    </xf>
    <xf numFmtId="0" fontId="35" fillId="9" borderId="1" xfId="2" applyFont="1" applyFill="1" applyBorder="1" applyAlignment="1">
      <alignment vertical="center"/>
    </xf>
    <xf numFmtId="0" fontId="7" fillId="9" borderId="1" xfId="2" applyFont="1" applyFill="1" applyBorder="1" applyAlignment="1">
      <alignment vertical="center"/>
    </xf>
    <xf numFmtId="164" fontId="18" fillId="9" borderId="1" xfId="2" applyNumberFormat="1" applyFont="1" applyFill="1" applyBorder="1" applyAlignment="1">
      <alignment horizontal="right" vertical="top"/>
    </xf>
    <xf numFmtId="164" fontId="35" fillId="5" borderId="0" xfId="2" applyNumberFormat="1" applyFont="1" applyFill="1" applyBorder="1">
      <alignment vertical="top"/>
    </xf>
    <xf numFmtId="164" fontId="44" fillId="0" borderId="0" xfId="2" applyNumberFormat="1" applyFont="1" applyFill="1" applyBorder="1">
      <alignment vertical="top"/>
    </xf>
    <xf numFmtId="164" fontId="45" fillId="0" borderId="0" xfId="2" applyNumberFormat="1" applyFont="1" applyFill="1" applyBorder="1">
      <alignment vertical="top"/>
    </xf>
    <xf numFmtId="0" fontId="15" fillId="5" borderId="5" xfId="2" applyFont="1" applyFill="1" applyBorder="1" applyAlignment="1">
      <alignment horizontal="left" vertical="center"/>
    </xf>
    <xf numFmtId="0" fontId="8" fillId="5" borderId="1" xfId="2" applyFill="1" applyBorder="1" applyAlignment="1">
      <alignment vertical="center"/>
    </xf>
    <xf numFmtId="164" fontId="10" fillId="5" borderId="1" xfId="2" applyNumberFormat="1" applyFont="1" applyFill="1" applyBorder="1" applyAlignment="1">
      <alignment horizontal="center" vertical="center"/>
    </xf>
    <xf numFmtId="0" fontId="8" fillId="5" borderId="1" xfId="2" applyFill="1" applyBorder="1" applyAlignment="1">
      <alignment horizontal="center" vertical="center"/>
    </xf>
    <xf numFmtId="0" fontId="8" fillId="9" borderId="1" xfId="2" applyFill="1" applyBorder="1" applyAlignment="1">
      <alignment vertical="center"/>
    </xf>
    <xf numFmtId="164" fontId="10" fillId="9" borderId="1" xfId="2" applyNumberFormat="1" applyFont="1" applyFill="1" applyBorder="1" applyAlignment="1">
      <alignment horizontal="center" vertical="center"/>
    </xf>
    <xf numFmtId="0" fontId="8" fillId="9" borderId="1" xfId="2" applyFill="1" applyBorder="1" applyAlignment="1">
      <alignment horizontal="center" vertical="center"/>
    </xf>
    <xf numFmtId="0" fontId="3" fillId="0" borderId="1" xfId="0" applyFont="1" applyBorder="1"/>
    <xf numFmtId="166" fontId="3" fillId="0" borderId="1" xfId="8" applyNumberFormat="1" applyFont="1" applyBorder="1"/>
    <xf numFmtId="166" fontId="21" fillId="0" borderId="1" xfId="0" applyNumberFormat="1" applyFont="1" applyBorder="1"/>
    <xf numFmtId="0" fontId="19" fillId="0" borderId="0" xfId="2" applyFont="1" applyFill="1" applyBorder="1" applyAlignment="1">
      <alignment vertical="top"/>
    </xf>
    <xf numFmtId="165" fontId="4" fillId="4" borderId="20" xfId="1" applyFont="1" applyFill="1" applyBorder="1" applyAlignment="1">
      <alignment wrapText="1"/>
    </xf>
    <xf numFmtId="165" fontId="4" fillId="4" borderId="20" xfId="1" applyFont="1" applyFill="1" applyBorder="1" applyAlignment="1">
      <alignment vertical="center" wrapText="1"/>
    </xf>
    <xf numFmtId="164" fontId="4" fillId="0" borderId="0" xfId="0" applyNumberFormat="1" applyFont="1"/>
    <xf numFmtId="0" fontId="7" fillId="3" borderId="4" xfId="2" applyFont="1" applyFill="1" applyBorder="1" applyAlignment="1">
      <alignment horizontal="center" vertical="top"/>
    </xf>
    <xf numFmtId="0" fontId="7" fillId="5" borderId="1" xfId="2" applyFont="1" applyFill="1" applyBorder="1" applyAlignment="1">
      <alignment horizontal="left" vertical="center"/>
    </xf>
    <xf numFmtId="0" fontId="14" fillId="5" borderId="5" xfId="2" applyFont="1" applyFill="1" applyBorder="1" applyAlignment="1">
      <alignment horizontal="center" vertical="center"/>
    </xf>
    <xf numFmtId="0" fontId="14" fillId="5" borderId="4" xfId="2" applyFont="1" applyFill="1" applyBorder="1" applyAlignment="1">
      <alignment horizontal="center" vertical="center"/>
    </xf>
    <xf numFmtId="0" fontId="18" fillId="5" borderId="15" xfId="2" applyFont="1" applyFill="1" applyBorder="1" applyAlignment="1">
      <alignment horizontal="center" vertical="top"/>
    </xf>
    <xf numFmtId="0" fontId="18" fillId="5" borderId="4" xfId="2" applyFont="1" applyFill="1" applyBorder="1" applyAlignment="1">
      <alignment horizontal="center" vertical="top"/>
    </xf>
    <xf numFmtId="0" fontId="8" fillId="0" borderId="1" xfId="2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vertical="center"/>
    </xf>
    <xf numFmtId="164" fontId="25" fillId="6" borderId="1" xfId="0" applyNumberFormat="1" applyFont="1" applyFill="1" applyBorder="1" applyAlignment="1">
      <alignment vertical="center"/>
    </xf>
    <xf numFmtId="0" fontId="0" fillId="4" borderId="8" xfId="0" applyFill="1" applyBorder="1" applyAlignment="1">
      <alignment vertical="center" wrapText="1"/>
    </xf>
    <xf numFmtId="164" fontId="25" fillId="8" borderId="1" xfId="0" applyNumberFormat="1" applyFont="1" applyFill="1" applyBorder="1" applyAlignment="1">
      <alignment vertical="center"/>
    </xf>
    <xf numFmtId="164" fontId="25" fillId="6" borderId="1" xfId="1" applyNumberFormat="1" applyFont="1" applyFill="1" applyBorder="1" applyAlignment="1">
      <alignment vertical="center"/>
    </xf>
    <xf numFmtId="164" fontId="25" fillId="9" borderId="1" xfId="1" applyNumberFormat="1" applyFont="1" applyFill="1" applyBorder="1" applyAlignment="1">
      <alignment vertical="center"/>
    </xf>
    <xf numFmtId="165" fontId="4" fillId="0" borderId="20" xfId="1" applyFont="1" applyBorder="1" applyAlignment="1">
      <alignment vertical="center" wrapText="1"/>
    </xf>
    <xf numFmtId="164" fontId="25" fillId="7" borderId="1" xfId="1" applyNumberFormat="1" applyFont="1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25" fillId="0" borderId="5" xfId="0" applyFont="1" applyBorder="1" applyAlignment="1">
      <alignment horizontal="left" vertical="center"/>
    </xf>
    <xf numFmtId="164" fontId="25" fillId="10" borderId="1" xfId="1" applyNumberFormat="1" applyFont="1" applyFill="1" applyBorder="1" applyAlignment="1">
      <alignment vertical="center"/>
    </xf>
    <xf numFmtId="164" fontId="25" fillId="11" borderId="1" xfId="1" applyNumberFormat="1" applyFont="1" applyFill="1" applyBorder="1" applyAlignment="1">
      <alignment vertical="center"/>
    </xf>
    <xf numFmtId="0" fontId="26" fillId="0" borderId="0" xfId="0" applyFont="1" applyAlignment="1">
      <alignment vertical="top"/>
    </xf>
    <xf numFmtId="0" fontId="26" fillId="0" borderId="0" xfId="0" applyFont="1" applyAlignment="1">
      <alignment horizontal="center" vertical="center"/>
    </xf>
    <xf numFmtId="0" fontId="6" fillId="0" borderId="0" xfId="0" applyFont="1" applyAlignment="1">
      <alignment vertical="top"/>
    </xf>
    <xf numFmtId="165" fontId="4" fillId="0" borderId="20" xfId="1" applyFont="1" applyBorder="1" applyAlignment="1">
      <alignment horizontal="left" wrapText="1"/>
    </xf>
    <xf numFmtId="170" fontId="4" fillId="0" borderId="4" xfId="1" applyNumberFormat="1" applyFont="1" applyBorder="1"/>
    <xf numFmtId="170" fontId="4" fillId="0" borderId="19" xfId="1" applyNumberFormat="1" applyFont="1" applyBorder="1"/>
    <xf numFmtId="170" fontId="4" fillId="0" borderId="21" xfId="1" applyNumberFormat="1" applyFont="1" applyBorder="1"/>
    <xf numFmtId="170" fontId="4" fillId="0" borderId="23" xfId="1" applyNumberFormat="1" applyFont="1" applyBorder="1"/>
    <xf numFmtId="170" fontId="41" fillId="0" borderId="4" xfId="1" applyNumberFormat="1" applyFont="1" applyBorder="1"/>
    <xf numFmtId="165" fontId="0" fillId="0" borderId="6" xfId="1" applyFont="1" applyBorder="1" applyAlignment="1">
      <alignment vertical="center"/>
    </xf>
    <xf numFmtId="170" fontId="4" fillId="0" borderId="21" xfId="1" applyNumberFormat="1" applyFont="1" applyBorder="1" applyAlignment="1">
      <alignment vertical="center"/>
    </xf>
    <xf numFmtId="0" fontId="15" fillId="4" borderId="0" xfId="2" applyFont="1" applyFill="1" applyBorder="1" applyAlignment="1">
      <alignment horizontal="center" vertical="center"/>
    </xf>
    <xf numFmtId="0" fontId="14" fillId="4" borderId="0" xfId="2" applyFont="1" applyFill="1" applyBorder="1" applyAlignment="1">
      <alignment horizontal="center" vertical="center"/>
    </xf>
    <xf numFmtId="0" fontId="15" fillId="4" borderId="0" xfId="2" applyFont="1" applyFill="1" applyBorder="1" applyAlignment="1">
      <alignment horizontal="center" vertical="top"/>
    </xf>
    <xf numFmtId="0" fontId="15" fillId="4" borderId="0" xfId="2" applyFont="1" applyFill="1" applyBorder="1">
      <alignment vertical="top"/>
    </xf>
    <xf numFmtId="0" fontId="38" fillId="4" borderId="0" xfId="2" applyFont="1" applyFill="1" applyBorder="1">
      <alignment vertical="top"/>
    </xf>
    <xf numFmtId="165" fontId="14" fillId="4" borderId="0" xfId="2" applyNumberFormat="1" applyFont="1" applyFill="1" applyBorder="1" applyAlignment="1">
      <alignment horizontal="center" vertical="center"/>
    </xf>
    <xf numFmtId="0" fontId="26" fillId="5" borderId="0" xfId="0" applyFont="1" applyFill="1" applyBorder="1" applyAlignment="1">
      <alignment horizontal="center" vertical="center"/>
    </xf>
    <xf numFmtId="0" fontId="25" fillId="5" borderId="0" xfId="0" applyFont="1" applyFill="1" applyBorder="1" applyAlignment="1">
      <alignment vertical="top"/>
    </xf>
    <xf numFmtId="164" fontId="26" fillId="5" borderId="0" xfId="0" applyNumberFormat="1" applyFont="1" applyFill="1" applyBorder="1" applyAlignment="1">
      <alignment vertical="center"/>
    </xf>
    <xf numFmtId="0" fontId="0" fillId="4" borderId="0" xfId="0" applyFill="1" applyBorder="1" applyAlignment="1">
      <alignment vertical="top"/>
    </xf>
    <xf numFmtId="0" fontId="25" fillId="5" borderId="10" xfId="2" applyFont="1" applyFill="1" applyBorder="1" applyAlignment="1">
      <alignment horizontal="center" vertical="center"/>
    </xf>
    <xf numFmtId="164" fontId="25" fillId="0" borderId="0" xfId="0" applyNumberFormat="1" applyFont="1" applyAlignment="1">
      <alignment vertical="top"/>
    </xf>
    <xf numFmtId="0" fontId="25" fillId="5" borderId="16" xfId="2" applyFont="1" applyFill="1" applyBorder="1" applyAlignment="1">
      <alignment horizontal="center" vertical="top"/>
    </xf>
    <xf numFmtId="0" fontId="25" fillId="5" borderId="10" xfId="2" applyFont="1" applyFill="1" applyBorder="1" applyAlignment="1">
      <alignment horizontal="left" vertical="center" wrapText="1"/>
    </xf>
    <xf numFmtId="0" fontId="25" fillId="5" borderId="9" xfId="2" applyFont="1" applyFill="1" applyBorder="1" applyAlignment="1">
      <alignment horizontal="center" vertical="center"/>
    </xf>
    <xf numFmtId="0" fontId="25" fillId="5" borderId="1" xfId="2" applyFont="1" applyFill="1" applyBorder="1" applyAlignment="1">
      <alignment horizontal="center" vertical="center"/>
    </xf>
    <xf numFmtId="166" fontId="25" fillId="5" borderId="9" xfId="8" applyNumberFormat="1" applyFont="1" applyFill="1" applyBorder="1" applyAlignment="1">
      <alignment horizontal="center" vertical="center"/>
    </xf>
    <xf numFmtId="0" fontId="7" fillId="5" borderId="1" xfId="2" applyFont="1" applyFill="1" applyBorder="1" applyAlignment="1">
      <alignment vertical="center" wrapText="1"/>
    </xf>
    <xf numFmtId="0" fontId="7" fillId="4" borderId="8" xfId="2" applyFont="1" applyFill="1" applyBorder="1" applyAlignment="1">
      <alignment vertical="center" wrapText="1"/>
    </xf>
    <xf numFmtId="0" fontId="7" fillId="5" borderId="1" xfId="2" quotePrefix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40" fillId="5" borderId="10" xfId="2" applyFont="1" applyFill="1" applyBorder="1" applyAlignment="1">
      <alignment horizontal="left" vertical="center"/>
    </xf>
    <xf numFmtId="0" fontId="40" fillId="5" borderId="16" xfId="2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165" fontId="27" fillId="6" borderId="0" xfId="1" applyFont="1" applyFill="1"/>
    <xf numFmtId="165" fontId="27" fillId="5" borderId="0" xfId="1" applyFont="1" applyFill="1"/>
    <xf numFmtId="0" fontId="40" fillId="5" borderId="1" xfId="2" applyFont="1" applyFill="1" applyBorder="1" applyAlignment="1">
      <alignment horizontal="center" vertical="center"/>
    </xf>
    <xf numFmtId="166" fontId="40" fillId="5" borderId="1" xfId="8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0" fillId="5" borderId="10" xfId="2" applyFont="1" applyFill="1" applyBorder="1" applyAlignment="1">
      <alignment horizontal="center" vertical="center"/>
    </xf>
    <xf numFmtId="0" fontId="40" fillId="5" borderId="9" xfId="2" applyFont="1" applyFill="1" applyBorder="1" applyAlignment="1">
      <alignment horizontal="center" vertical="center"/>
    </xf>
    <xf numFmtId="166" fontId="40" fillId="5" borderId="9" xfId="8" applyNumberFormat="1" applyFont="1" applyFill="1" applyBorder="1" applyAlignment="1">
      <alignment horizontal="center" vertical="center"/>
    </xf>
    <xf numFmtId="165" fontId="4" fillId="0" borderId="22" xfId="1" applyFont="1" applyBorder="1" applyAlignment="1">
      <alignment vertical="center" wrapText="1"/>
    </xf>
    <xf numFmtId="165" fontId="4" fillId="0" borderId="2" xfId="1" applyFont="1" applyBorder="1"/>
    <xf numFmtId="170" fontId="4" fillId="0" borderId="7" xfId="1" applyNumberFormat="1" applyFont="1" applyBorder="1"/>
    <xf numFmtId="165" fontId="0" fillId="0" borderId="0" xfId="0" applyNumberFormat="1"/>
    <xf numFmtId="0" fontId="14" fillId="4" borderId="5" xfId="2" applyFont="1" applyFill="1" applyBorder="1" applyAlignment="1">
      <alignment horizontal="center" vertical="center"/>
    </xf>
    <xf numFmtId="0" fontId="14" fillId="5" borderId="5" xfId="2" applyFont="1" applyFill="1" applyBorder="1" applyAlignment="1">
      <alignment horizontal="center" vertical="center"/>
    </xf>
    <xf numFmtId="0" fontId="14" fillId="5" borderId="4" xfId="2" applyFont="1" applyFill="1" applyBorder="1" applyAlignment="1">
      <alignment horizontal="center" vertical="center"/>
    </xf>
    <xf numFmtId="0" fontId="18" fillId="5" borderId="15" xfId="2" applyFont="1" applyFill="1" applyBorder="1" applyAlignment="1">
      <alignment horizontal="center" vertical="top"/>
    </xf>
    <xf numFmtId="0" fontId="18" fillId="5" borderId="4" xfId="2" applyFont="1" applyFill="1" applyBorder="1" applyAlignment="1">
      <alignment horizontal="center" vertical="top"/>
    </xf>
    <xf numFmtId="0" fontId="8" fillId="0" borderId="1" xfId="2" applyBorder="1" applyAlignment="1">
      <alignment horizontal="center" vertical="center"/>
    </xf>
    <xf numFmtId="0" fontId="14" fillId="4" borderId="1" xfId="2" applyFont="1" applyFill="1" applyBorder="1" applyAlignment="1">
      <alignment horizontal="center" vertical="top"/>
    </xf>
    <xf numFmtId="0" fontId="14" fillId="4" borderId="1" xfId="2" applyFont="1" applyFill="1" applyBorder="1">
      <alignment vertical="top"/>
    </xf>
    <xf numFmtId="0" fontId="37" fillId="4" borderId="1" xfId="2" applyFont="1" applyFill="1" applyBorder="1">
      <alignment vertical="top"/>
    </xf>
    <xf numFmtId="0" fontId="18" fillId="4" borderId="9" xfId="2" applyFont="1" applyFill="1" applyBorder="1">
      <alignment vertical="top"/>
    </xf>
    <xf numFmtId="0" fontId="2" fillId="0" borderId="0" xfId="0" applyFont="1"/>
    <xf numFmtId="0" fontId="0" fillId="3" borderId="9" xfId="0" applyFill="1" applyBorder="1" applyAlignment="1">
      <alignment vertical="top"/>
    </xf>
    <xf numFmtId="164" fontId="4" fillId="0" borderId="0" xfId="0" applyNumberFormat="1" applyFont="1" applyFill="1" applyBorder="1"/>
    <xf numFmtId="43" fontId="8" fillId="0" borderId="0" xfId="8" applyFont="1" applyAlignment="1">
      <alignment vertical="top"/>
    </xf>
    <xf numFmtId="0" fontId="0" fillId="0" borderId="0" xfId="0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7" fillId="4" borderId="8" xfId="2" applyFont="1" applyFill="1" applyBorder="1" applyAlignment="1">
      <alignment horizontal="left" vertical="center" wrapText="1"/>
    </xf>
    <xf numFmtId="0" fontId="15" fillId="0" borderId="5" xfId="2" applyFont="1" applyBorder="1" applyAlignment="1">
      <alignment vertical="top"/>
    </xf>
    <xf numFmtId="0" fontId="15" fillId="0" borderId="4" xfId="2" applyFont="1" applyBorder="1" applyAlignment="1">
      <alignment vertical="top"/>
    </xf>
    <xf numFmtId="0" fontId="15" fillId="0" borderId="5" xfId="2" applyFont="1" applyBorder="1" applyAlignment="1">
      <alignment vertical="center"/>
    </xf>
    <xf numFmtId="0" fontId="15" fillId="0" borderId="4" xfId="2" applyFont="1" applyBorder="1" applyAlignment="1">
      <alignment vertical="center"/>
    </xf>
    <xf numFmtId="0" fontId="15" fillId="0" borderId="24" xfId="2" applyFont="1" applyBorder="1" applyAlignment="1">
      <alignment vertical="center"/>
    </xf>
    <xf numFmtId="0" fontId="15" fillId="0" borderId="25" xfId="2" applyFont="1" applyBorder="1" applyAlignment="1">
      <alignment vertical="center"/>
    </xf>
    <xf numFmtId="0" fontId="7" fillId="0" borderId="1" xfId="2" applyFont="1" applyBorder="1" applyAlignment="1">
      <alignment horizontal="center" vertical="top"/>
    </xf>
    <xf numFmtId="0" fontId="14" fillId="5" borderId="5" xfId="2" applyFont="1" applyFill="1" applyBorder="1" applyAlignment="1">
      <alignment horizontal="center" vertical="center"/>
    </xf>
    <xf numFmtId="0" fontId="14" fillId="5" borderId="4" xfId="2" applyFont="1" applyFill="1" applyBorder="1" applyAlignment="1">
      <alignment horizontal="center" vertical="center"/>
    </xf>
    <xf numFmtId="0" fontId="14" fillId="4" borderId="5" xfId="2" applyFont="1" applyFill="1" applyBorder="1" applyAlignment="1">
      <alignment horizontal="center" vertical="center"/>
    </xf>
    <xf numFmtId="0" fontId="15" fillId="0" borderId="27" xfId="2" applyFont="1" applyBorder="1" applyAlignment="1">
      <alignment vertical="center"/>
    </xf>
    <xf numFmtId="0" fontId="15" fillId="0" borderId="28" xfId="2" applyFont="1" applyBorder="1" applyAlignment="1">
      <alignment vertical="center"/>
    </xf>
    <xf numFmtId="0" fontId="25" fillId="0" borderId="5" xfId="0" applyFont="1" applyBorder="1" applyAlignment="1">
      <alignment vertical="center"/>
    </xf>
    <xf numFmtId="0" fontId="25" fillId="0" borderId="5" xfId="0" applyFont="1" applyBorder="1" applyAlignment="1">
      <alignment vertical="center" wrapText="1"/>
    </xf>
    <xf numFmtId="0" fontId="40" fillId="5" borderId="5" xfId="2" applyFont="1" applyFill="1" applyBorder="1" applyAlignment="1">
      <alignment vertical="center"/>
    </xf>
    <xf numFmtId="0" fontId="40" fillId="5" borderId="4" xfId="2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7" fillId="5" borderId="1" xfId="2" applyFont="1" applyFill="1" applyBorder="1" applyAlignment="1">
      <alignment horizontal="left" vertical="center" wrapText="1"/>
    </xf>
    <xf numFmtId="0" fontId="14" fillId="5" borderId="4" xfId="2" applyFont="1" applyFill="1" applyBorder="1" applyAlignment="1">
      <alignment horizontal="center" vertical="center"/>
    </xf>
    <xf numFmtId="0" fontId="15" fillId="5" borderId="1" xfId="2" applyFont="1" applyFill="1" applyBorder="1" applyAlignment="1">
      <alignment vertical="top" wrapText="1"/>
    </xf>
    <xf numFmtId="0" fontId="18" fillId="5" borderId="15" xfId="2" applyFont="1" applyFill="1" applyBorder="1" applyAlignment="1">
      <alignment horizontal="center" vertical="top"/>
    </xf>
    <xf numFmtId="0" fontId="18" fillId="5" borderId="4" xfId="2" applyFont="1" applyFill="1" applyBorder="1" applyAlignment="1">
      <alignment horizontal="center" vertical="top"/>
    </xf>
    <xf numFmtId="166" fontId="3" fillId="0" borderId="1" xfId="0" applyNumberFormat="1" applyFont="1" applyBorder="1"/>
    <xf numFmtId="165" fontId="3" fillId="0" borderId="1" xfId="1" applyFont="1" applyBorder="1"/>
    <xf numFmtId="0" fontId="14" fillId="4" borderId="5" xfId="2" applyFont="1" applyFill="1" applyBorder="1" applyAlignment="1">
      <alignment horizontal="center" vertical="center"/>
    </xf>
    <xf numFmtId="0" fontId="18" fillId="5" borderId="15" xfId="2" applyFont="1" applyFill="1" applyBorder="1" applyAlignment="1">
      <alignment horizontal="center" vertical="top"/>
    </xf>
    <xf numFmtId="0" fontId="18" fillId="5" borderId="4" xfId="2" applyFont="1" applyFill="1" applyBorder="1" applyAlignment="1">
      <alignment horizontal="center" vertical="top"/>
    </xf>
    <xf numFmtId="0" fontId="14" fillId="5" borderId="1" xfId="2" applyFont="1" applyFill="1" applyBorder="1" applyAlignment="1">
      <alignment horizontal="center" vertical="center"/>
    </xf>
    <xf numFmtId="0" fontId="14" fillId="5" borderId="1" xfId="2" applyFont="1" applyFill="1" applyBorder="1" applyAlignment="1">
      <alignment horizontal="center" vertical="top"/>
    </xf>
    <xf numFmtId="0" fontId="14" fillId="5" borderId="1" xfId="2" applyFont="1" applyFill="1" applyBorder="1">
      <alignment vertical="top"/>
    </xf>
    <xf numFmtId="0" fontId="37" fillId="5" borderId="1" xfId="2" applyFont="1" applyFill="1" applyBorder="1">
      <alignment vertical="top"/>
    </xf>
    <xf numFmtId="0" fontId="15" fillId="5" borderId="4" xfId="2" applyFont="1" applyFill="1" applyBorder="1" applyAlignment="1">
      <alignment horizontal="center" vertical="top"/>
    </xf>
    <xf numFmtId="0" fontId="15" fillId="5" borderId="16" xfId="2" applyFont="1" applyFill="1" applyBorder="1" applyAlignment="1">
      <alignment horizontal="center" vertical="center"/>
    </xf>
    <xf numFmtId="0" fontId="15" fillId="5" borderId="4" xfId="2" applyFont="1" applyFill="1" applyBorder="1" applyAlignment="1">
      <alignment horizontal="center" vertical="center"/>
    </xf>
    <xf numFmtId="0" fontId="15" fillId="5" borderId="10" xfId="2" applyFont="1" applyFill="1" applyBorder="1" applyAlignment="1">
      <alignment horizontal="left" vertical="center"/>
    </xf>
    <xf numFmtId="0" fontId="38" fillId="5" borderId="1" xfId="2" applyFont="1" applyFill="1" applyBorder="1" applyAlignment="1">
      <alignment horizontal="center" vertical="top"/>
    </xf>
    <xf numFmtId="0" fontId="18" fillId="4" borderId="8" xfId="2" applyFont="1" applyFill="1" applyBorder="1">
      <alignment vertical="top"/>
    </xf>
    <xf numFmtId="0" fontId="18" fillId="4" borderId="14" xfId="2" applyFont="1" applyFill="1" applyBorder="1">
      <alignment vertical="top"/>
    </xf>
    <xf numFmtId="0" fontId="7" fillId="5" borderId="14" xfId="2" applyFont="1" applyFill="1" applyBorder="1">
      <alignment vertical="top"/>
    </xf>
    <xf numFmtId="0" fontId="7" fillId="4" borderId="14" xfId="2" applyFont="1" applyFill="1" applyBorder="1">
      <alignment vertical="top"/>
    </xf>
    <xf numFmtId="0" fontId="14" fillId="5" borderId="17" xfId="2" applyFont="1" applyFill="1" applyBorder="1" applyAlignment="1">
      <alignment horizontal="center" vertical="center"/>
    </xf>
    <xf numFmtId="0" fontId="7" fillId="5" borderId="1" xfId="2" applyFont="1" applyFill="1" applyBorder="1" applyAlignment="1">
      <alignment horizontal="right" vertical="center"/>
    </xf>
    <xf numFmtId="164" fontId="27" fillId="0" borderId="0" xfId="0" applyNumberFormat="1" applyFont="1"/>
    <xf numFmtId="0" fontId="17" fillId="0" borderId="0" xfId="0" applyFont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6" fillId="4" borderId="2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5" fillId="0" borderId="14" xfId="2" applyFont="1" applyBorder="1" applyAlignment="1">
      <alignment vertical="center"/>
    </xf>
    <xf numFmtId="0" fontId="14" fillId="0" borderId="1" xfId="2" applyFont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/>
    </xf>
    <xf numFmtId="0" fontId="11" fillId="3" borderId="0" xfId="2" applyFont="1" applyFill="1" applyAlignment="1">
      <alignment horizontal="center" vertical="top"/>
    </xf>
    <xf numFmtId="0" fontId="15" fillId="0" borderId="5" xfId="2" applyFont="1" applyBorder="1" applyAlignment="1">
      <alignment vertical="top"/>
    </xf>
    <xf numFmtId="0" fontId="15" fillId="0" borderId="4" xfId="2" applyFont="1" applyBorder="1" applyAlignment="1">
      <alignment vertical="top"/>
    </xf>
    <xf numFmtId="0" fontId="14" fillId="6" borderId="5" xfId="2" applyFont="1" applyFill="1" applyBorder="1" applyAlignment="1">
      <alignment horizontal="center" vertical="center"/>
    </xf>
    <xf numFmtId="0" fontId="14" fillId="6" borderId="4" xfId="2" applyFont="1" applyFill="1" applyBorder="1" applyAlignment="1">
      <alignment horizontal="center" vertical="center"/>
    </xf>
    <xf numFmtId="0" fontId="11" fillId="0" borderId="0" xfId="2" applyFont="1" applyAlignment="1">
      <alignment horizontal="center" vertical="top" wrapText="1"/>
    </xf>
    <xf numFmtId="0" fontId="37" fillId="0" borderId="1" xfId="2" applyFont="1" applyBorder="1" applyAlignment="1">
      <alignment horizontal="center" vertical="center" wrapText="1"/>
    </xf>
    <xf numFmtId="0" fontId="37" fillId="0" borderId="1" xfId="2" applyFont="1" applyBorder="1" applyAlignment="1">
      <alignment horizontal="center" vertical="center"/>
    </xf>
    <xf numFmtId="0" fontId="14" fillId="0" borderId="2" xfId="2" applyFont="1" applyBorder="1" applyAlignment="1">
      <alignment horizontal="center" vertical="center"/>
    </xf>
    <xf numFmtId="0" fontId="14" fillId="0" borderId="9" xfId="2" applyFont="1" applyBorder="1" applyAlignment="1">
      <alignment horizontal="center" vertical="center"/>
    </xf>
    <xf numFmtId="0" fontId="15" fillId="0" borderId="2" xfId="2" applyFont="1" applyBorder="1" applyAlignment="1">
      <alignment horizontal="center" vertical="top"/>
    </xf>
    <xf numFmtId="0" fontId="14" fillId="0" borderId="2" xfId="2" applyFont="1" applyBorder="1" applyAlignment="1">
      <alignment horizontal="center" vertical="center" wrapText="1"/>
    </xf>
    <xf numFmtId="0" fontId="14" fillId="0" borderId="9" xfId="2" applyFont="1" applyBorder="1" applyAlignment="1">
      <alignment horizontal="center" vertical="center" wrapText="1"/>
    </xf>
    <xf numFmtId="0" fontId="14" fillId="14" borderId="5" xfId="2" applyFont="1" applyFill="1" applyBorder="1" applyAlignment="1">
      <alignment horizontal="center" vertical="center"/>
    </xf>
    <xf numFmtId="0" fontId="14" fillId="14" borderId="4" xfId="2" applyFont="1" applyFill="1" applyBorder="1" applyAlignment="1">
      <alignment horizontal="center" vertical="center"/>
    </xf>
    <xf numFmtId="0" fontId="14" fillId="4" borderId="5" xfId="2" applyFont="1" applyFill="1" applyBorder="1" applyAlignment="1">
      <alignment horizontal="center" vertical="center"/>
    </xf>
    <xf numFmtId="0" fontId="14" fillId="4" borderId="4" xfId="2" applyFont="1" applyFill="1" applyBorder="1" applyAlignment="1">
      <alignment horizontal="center" vertical="center"/>
    </xf>
    <xf numFmtId="0" fontId="14" fillId="13" borderId="5" xfId="2" applyFont="1" applyFill="1" applyBorder="1" applyAlignment="1">
      <alignment horizontal="center" vertical="center"/>
    </xf>
    <xf numFmtId="0" fontId="14" fillId="13" borderId="4" xfId="2" applyFont="1" applyFill="1" applyBorder="1" applyAlignment="1">
      <alignment horizontal="center" vertical="center"/>
    </xf>
    <xf numFmtId="0" fontId="14" fillId="5" borderId="5" xfId="2" applyFont="1" applyFill="1" applyBorder="1" applyAlignment="1">
      <alignment horizontal="center" vertical="center"/>
    </xf>
    <xf numFmtId="0" fontId="14" fillId="5" borderId="4" xfId="2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11" fillId="3" borderId="15" xfId="2" applyFont="1" applyFill="1" applyBorder="1" applyAlignment="1">
      <alignment horizontal="center" vertical="top"/>
    </xf>
    <xf numFmtId="0" fontId="11" fillId="3" borderId="4" xfId="2" applyFont="1" applyFill="1" applyBorder="1" applyAlignment="1">
      <alignment horizontal="center" vertical="top"/>
    </xf>
    <xf numFmtId="0" fontId="40" fillId="5" borderId="5" xfId="2" applyFont="1" applyFill="1" applyBorder="1" applyAlignment="1">
      <alignment horizontal="left" vertical="center"/>
    </xf>
    <xf numFmtId="0" fontId="40" fillId="5" borderId="4" xfId="2" applyFont="1" applyFill="1" applyBorder="1" applyAlignment="1">
      <alignment horizontal="left" vertical="center"/>
    </xf>
    <xf numFmtId="0" fontId="26" fillId="5" borderId="5" xfId="0" applyFont="1" applyFill="1" applyBorder="1" applyAlignment="1">
      <alignment horizontal="center" vertical="center"/>
    </xf>
    <xf numFmtId="0" fontId="26" fillId="5" borderId="15" xfId="0" applyFont="1" applyFill="1" applyBorder="1" applyAlignment="1">
      <alignment horizontal="center" vertical="center"/>
    </xf>
    <xf numFmtId="0" fontId="26" fillId="5" borderId="4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6" fillId="7" borderId="5" xfId="0" applyFont="1" applyFill="1" applyBorder="1" applyAlignment="1">
      <alignment horizontal="center" vertical="center"/>
    </xf>
    <xf numFmtId="0" fontId="26" fillId="7" borderId="4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top" wrapText="1"/>
    </xf>
    <xf numFmtId="0" fontId="26" fillId="0" borderId="3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/>
    </xf>
    <xf numFmtId="0" fontId="26" fillId="6" borderId="5" xfId="0" applyFont="1" applyFill="1" applyBorder="1" applyAlignment="1">
      <alignment horizontal="center" vertical="center"/>
    </xf>
    <xf numFmtId="0" fontId="26" fillId="6" borderId="4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top"/>
    </xf>
    <xf numFmtId="0" fontId="26" fillId="13" borderId="5" xfId="0" applyFont="1" applyFill="1" applyBorder="1" applyAlignment="1">
      <alignment horizontal="center" vertical="center"/>
    </xf>
    <xf numFmtId="0" fontId="26" fillId="13" borderId="4" xfId="0" applyFont="1" applyFill="1" applyBorder="1" applyAlignment="1">
      <alignment horizontal="center" vertical="center"/>
    </xf>
    <xf numFmtId="0" fontId="25" fillId="0" borderId="9" xfId="0" applyFont="1" applyBorder="1" applyAlignment="1">
      <alignment horizontal="center" vertical="top"/>
    </xf>
    <xf numFmtId="0" fontId="40" fillId="5" borderId="5" xfId="2" applyFont="1" applyFill="1" applyBorder="1" applyAlignment="1">
      <alignment horizontal="left" vertical="center" wrapText="1"/>
    </xf>
    <xf numFmtId="0" fontId="40" fillId="5" borderId="4" xfId="2" applyFont="1" applyFill="1" applyBorder="1" applyAlignment="1">
      <alignment horizontal="left" vertical="center" wrapText="1"/>
    </xf>
    <xf numFmtId="0" fontId="7" fillId="5" borderId="5" xfId="2" applyFont="1" applyFill="1" applyBorder="1" applyAlignment="1">
      <alignment horizontal="left" vertical="center" wrapText="1"/>
    </xf>
    <xf numFmtId="0" fontId="7" fillId="5" borderId="4" xfId="2" applyFont="1" applyFill="1" applyBorder="1" applyAlignment="1">
      <alignment horizontal="left" vertical="center" wrapText="1"/>
    </xf>
    <xf numFmtId="0" fontId="18" fillId="9" borderId="5" xfId="2" applyFont="1" applyFill="1" applyBorder="1" applyAlignment="1">
      <alignment horizontal="center" vertical="top"/>
    </xf>
    <xf numFmtId="0" fontId="18" fillId="9" borderId="4" xfId="2" applyFont="1" applyFill="1" applyBorder="1" applyAlignment="1">
      <alignment horizontal="center" vertical="top"/>
    </xf>
    <xf numFmtId="0" fontId="18" fillId="5" borderId="5" xfId="2" applyFont="1" applyFill="1" applyBorder="1" applyAlignment="1">
      <alignment horizontal="center" vertical="top"/>
    </xf>
    <xf numFmtId="0" fontId="18" fillId="5" borderId="15" xfId="2" applyFont="1" applyFill="1" applyBorder="1" applyAlignment="1">
      <alignment horizontal="center" vertical="top"/>
    </xf>
    <xf numFmtId="0" fontId="18" fillId="5" borderId="4" xfId="2" applyFont="1" applyFill="1" applyBorder="1" applyAlignment="1">
      <alignment horizontal="center" vertical="top"/>
    </xf>
    <xf numFmtId="0" fontId="7" fillId="0" borderId="5" xfId="2" applyFont="1" applyBorder="1" applyAlignment="1">
      <alignment horizontal="left" vertical="top" wrapText="1"/>
    </xf>
    <xf numFmtId="0" fontId="7" fillId="0" borderId="4" xfId="2" applyFont="1" applyBorder="1" applyAlignment="1">
      <alignment horizontal="left" vertical="top" wrapText="1"/>
    </xf>
    <xf numFmtId="0" fontId="43" fillId="0" borderId="5" xfId="0" applyFont="1" applyBorder="1" applyAlignment="1">
      <alignment horizontal="left" vertical="top" wrapText="1"/>
    </xf>
    <xf numFmtId="0" fontId="43" fillId="0" borderId="4" xfId="0" applyFont="1" applyBorder="1" applyAlignment="1">
      <alignment horizontal="left" vertical="top" wrapText="1"/>
    </xf>
    <xf numFmtId="0" fontId="18" fillId="6" borderId="1" xfId="2" applyFont="1" applyFill="1" applyBorder="1" applyAlignment="1">
      <alignment horizontal="center" vertical="top"/>
    </xf>
    <xf numFmtId="0" fontId="7" fillId="5" borderId="5" xfId="2" applyFont="1" applyFill="1" applyBorder="1" applyAlignment="1">
      <alignment horizontal="left" vertical="top" wrapText="1"/>
    </xf>
    <xf numFmtId="0" fontId="7" fillId="5" borderId="4" xfId="2" applyFont="1" applyFill="1" applyBorder="1" applyAlignment="1">
      <alignment horizontal="left" vertical="top" wrapText="1"/>
    </xf>
    <xf numFmtId="0" fontId="18" fillId="13" borderId="1" xfId="2" applyFont="1" applyFill="1" applyBorder="1" applyAlignment="1">
      <alignment horizontal="center" vertical="top"/>
    </xf>
    <xf numFmtId="0" fontId="7" fillId="0" borderId="1" xfId="2" applyFont="1" applyBorder="1" applyAlignment="1">
      <alignment horizontal="left" vertical="top" wrapText="1"/>
    </xf>
    <xf numFmtId="0" fontId="17" fillId="0" borderId="0" xfId="2" applyFont="1" applyAlignment="1">
      <alignment horizontal="center" vertical="top" wrapText="1"/>
    </xf>
    <xf numFmtId="0" fontId="17" fillId="3" borderId="0" xfId="2" applyFont="1" applyFill="1" applyAlignment="1">
      <alignment horizontal="center" vertical="top"/>
    </xf>
    <xf numFmtId="0" fontId="7" fillId="0" borderId="1" xfId="2" applyFont="1" applyBorder="1" applyAlignment="1">
      <alignment vertical="center" wrapText="1"/>
    </xf>
    <xf numFmtId="0" fontId="7" fillId="0" borderId="5" xfId="2" applyFont="1" applyBorder="1" applyAlignment="1">
      <alignment vertical="center" wrapText="1"/>
    </xf>
    <xf numFmtId="0" fontId="7" fillId="0" borderId="4" xfId="2" applyFont="1" applyBorder="1" applyAlignment="1">
      <alignment vertical="center" wrapText="1"/>
    </xf>
    <xf numFmtId="0" fontId="7" fillId="0" borderId="5" xfId="2" applyFont="1" applyBorder="1" applyAlignment="1">
      <alignment horizontal="left" vertical="center" wrapText="1"/>
    </xf>
    <xf numFmtId="0" fontId="7" fillId="0" borderId="4" xfId="2" applyFont="1" applyBorder="1" applyAlignment="1">
      <alignment horizontal="left" vertical="center" wrapText="1"/>
    </xf>
    <xf numFmtId="0" fontId="7" fillId="0" borderId="1" xfId="2" applyFont="1" applyBorder="1" applyAlignment="1">
      <alignment horizontal="center" vertical="top"/>
    </xf>
    <xf numFmtId="0" fontId="7" fillId="0" borderId="5" xfId="2" applyFont="1" applyBorder="1" applyAlignment="1">
      <alignment horizontal="left" vertical="center"/>
    </xf>
    <xf numFmtId="0" fontId="7" fillId="0" borderId="4" xfId="2" applyFont="1" applyBorder="1" applyAlignment="1">
      <alignment horizontal="left" vertical="center"/>
    </xf>
    <xf numFmtId="0" fontId="18" fillId="0" borderId="1" xfId="2" applyFont="1" applyBorder="1" applyAlignment="1">
      <alignment horizontal="center" vertical="center"/>
    </xf>
    <xf numFmtId="0" fontId="18" fillId="0" borderId="2" xfId="2" applyFont="1" applyBorder="1" applyAlignment="1">
      <alignment horizontal="center" vertical="center" wrapText="1"/>
    </xf>
    <xf numFmtId="0" fontId="18" fillId="0" borderId="9" xfId="2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18" fillId="0" borderId="3" xfId="2" applyFont="1" applyBorder="1" applyAlignment="1">
      <alignment horizontal="center" vertical="center" wrapText="1"/>
    </xf>
    <xf numFmtId="0" fontId="18" fillId="0" borderId="7" xfId="2" applyFont="1" applyBorder="1" applyAlignment="1">
      <alignment horizontal="center" vertical="center" wrapText="1"/>
    </xf>
    <xf numFmtId="0" fontId="18" fillId="0" borderId="10" xfId="2" applyFont="1" applyBorder="1" applyAlignment="1">
      <alignment horizontal="center" vertical="center" wrapText="1"/>
    </xf>
    <xf numFmtId="0" fontId="18" fillId="0" borderId="16" xfId="2" applyFont="1" applyBorder="1" applyAlignment="1">
      <alignment horizontal="center" vertical="center" wrapText="1"/>
    </xf>
    <xf numFmtId="0" fontId="18" fillId="0" borderId="2" xfId="2" applyFont="1" applyBorder="1" applyAlignment="1">
      <alignment horizontal="center" vertical="center"/>
    </xf>
    <xf numFmtId="0" fontId="18" fillId="0" borderId="9" xfId="2" applyFont="1" applyBorder="1" applyAlignment="1">
      <alignment horizontal="center" vertical="center"/>
    </xf>
    <xf numFmtId="0" fontId="7" fillId="0" borderId="1" xfId="2" applyFont="1" applyBorder="1" applyAlignment="1">
      <alignment horizontal="left" vertical="top"/>
    </xf>
    <xf numFmtId="0" fontId="7" fillId="0" borderId="5" xfId="2" applyFont="1" applyBorder="1" applyAlignment="1">
      <alignment horizontal="center" vertical="top"/>
    </xf>
    <xf numFmtId="0" fontId="7" fillId="0" borderId="15" xfId="2" applyFont="1" applyBorder="1" applyAlignment="1">
      <alignment horizontal="center" vertical="top"/>
    </xf>
    <xf numFmtId="0" fontId="7" fillId="0" borderId="4" xfId="2" applyFont="1" applyBorder="1" applyAlignment="1">
      <alignment horizontal="center" vertical="top"/>
    </xf>
    <xf numFmtId="0" fontId="7" fillId="0" borderId="1" xfId="2" applyFont="1" applyBorder="1" applyAlignment="1">
      <alignment vertical="center"/>
    </xf>
    <xf numFmtId="0" fontId="8" fillId="0" borderId="0" xfId="2" applyAlignment="1">
      <alignment horizontal="center" vertical="top"/>
    </xf>
    <xf numFmtId="0" fontId="8" fillId="0" borderId="10" xfId="2" applyFont="1" applyBorder="1" applyAlignment="1">
      <alignment horizontal="center" vertical="center" wrapText="1"/>
    </xf>
    <xf numFmtId="0" fontId="8" fillId="0" borderId="16" xfId="2" applyFont="1" applyBorder="1" applyAlignment="1">
      <alignment horizontal="center" vertical="center" wrapText="1"/>
    </xf>
    <xf numFmtId="0" fontId="8" fillId="13" borderId="5" xfId="2" applyFill="1" applyBorder="1" applyAlignment="1">
      <alignment horizontal="center" vertical="center"/>
    </xf>
    <xf numFmtId="0" fontId="8" fillId="13" borderId="15" xfId="2" applyFill="1" applyBorder="1" applyAlignment="1">
      <alignment horizontal="center" vertical="center"/>
    </xf>
    <xf numFmtId="0" fontId="8" fillId="13" borderId="4" xfId="2" applyFill="1" applyBorder="1" applyAlignment="1">
      <alignment horizontal="center" vertical="center"/>
    </xf>
    <xf numFmtId="0" fontId="8" fillId="9" borderId="5" xfId="2" applyFill="1" applyBorder="1" applyAlignment="1">
      <alignment horizontal="center" vertical="center"/>
    </xf>
    <xf numFmtId="0" fontId="8" fillId="9" borderId="15" xfId="2" applyFill="1" applyBorder="1" applyAlignment="1">
      <alignment horizontal="center" vertical="center"/>
    </xf>
    <xf numFmtId="0" fontId="8" fillId="9" borderId="4" xfId="2" applyFill="1" applyBorder="1" applyAlignment="1">
      <alignment horizontal="center" vertical="center"/>
    </xf>
    <xf numFmtId="0" fontId="8" fillId="6" borderId="5" xfId="2" applyFill="1" applyBorder="1" applyAlignment="1">
      <alignment horizontal="center" vertical="center"/>
    </xf>
    <xf numFmtId="0" fontId="8" fillId="6" borderId="15" xfId="2" applyFill="1" applyBorder="1" applyAlignment="1">
      <alignment horizontal="center" vertical="center"/>
    </xf>
    <xf numFmtId="0" fontId="8" fillId="6" borderId="4" xfId="2" applyFill="1" applyBorder="1" applyAlignment="1">
      <alignment horizontal="center" vertical="center"/>
    </xf>
    <xf numFmtId="0" fontId="8" fillId="0" borderId="5" xfId="2" applyBorder="1" applyAlignment="1">
      <alignment horizontal="center" vertical="center"/>
    </xf>
    <xf numFmtId="0" fontId="8" fillId="0" borderId="15" xfId="2" applyBorder="1" applyAlignment="1">
      <alignment horizontal="center" vertical="center"/>
    </xf>
    <xf numFmtId="0" fontId="8" fillId="0" borderId="4" xfId="2" applyBorder="1" applyAlignment="1">
      <alignment horizontal="center" vertical="center"/>
    </xf>
    <xf numFmtId="0" fontId="8" fillId="0" borderId="1" xfId="2" applyBorder="1" applyAlignment="1">
      <alignment horizontal="center" vertical="center" wrapText="1"/>
    </xf>
    <xf numFmtId="0" fontId="8" fillId="0" borderId="1" xfId="2" applyBorder="1" applyAlignment="1">
      <alignment horizontal="center" vertical="center"/>
    </xf>
    <xf numFmtId="0" fontId="8" fillId="0" borderId="5" xfId="2" applyBorder="1" applyAlignment="1">
      <alignment horizontal="left" vertical="center"/>
    </xf>
    <xf numFmtId="0" fontId="8" fillId="0" borderId="4" xfId="2" applyBorder="1" applyAlignment="1">
      <alignment horizontal="left" vertical="center"/>
    </xf>
    <xf numFmtId="0" fontId="8" fillId="0" borderId="1" xfId="2" applyBorder="1" applyAlignment="1">
      <alignment horizontal="left" vertical="center"/>
    </xf>
    <xf numFmtId="0" fontId="8" fillId="5" borderId="1" xfId="2" applyFill="1" applyBorder="1" applyAlignment="1">
      <alignment horizontal="center" vertical="center"/>
    </xf>
    <xf numFmtId="0" fontId="8" fillId="5" borderId="5" xfId="2" applyFill="1" applyBorder="1" applyAlignment="1">
      <alignment horizontal="center" vertical="center"/>
    </xf>
    <xf numFmtId="0" fontId="8" fillId="5" borderId="4" xfId="2" applyFill="1" applyBorder="1" applyAlignment="1">
      <alignment horizontal="center" vertical="center"/>
    </xf>
    <xf numFmtId="0" fontId="9" fillId="0" borderId="0" xfId="2" applyFont="1" applyAlignment="1">
      <alignment horizontal="center" vertical="top" wrapText="1"/>
    </xf>
    <xf numFmtId="0" fontId="16" fillId="5" borderId="2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8" fillId="7" borderId="1" xfId="2" applyFont="1" applyFill="1" applyBorder="1" applyAlignment="1">
      <alignment horizontal="center" vertical="center"/>
    </xf>
    <xf numFmtId="0" fontId="8" fillId="7" borderId="1" xfId="2" applyFill="1" applyBorder="1" applyAlignment="1">
      <alignment horizontal="center" vertical="center"/>
    </xf>
    <xf numFmtId="0" fontId="8" fillId="0" borderId="1" xfId="2" applyBorder="1" applyAlignment="1">
      <alignment horizontal="center" vertical="top"/>
    </xf>
    <xf numFmtId="0" fontId="8" fillId="0" borderId="2" xfId="2" applyBorder="1" applyAlignment="1">
      <alignment horizontal="center" vertical="center" wrapText="1"/>
    </xf>
    <xf numFmtId="0" fontId="8" fillId="0" borderId="9" xfId="2" applyBorder="1" applyAlignment="1">
      <alignment horizontal="center" vertical="center" wrapText="1"/>
    </xf>
    <xf numFmtId="0" fontId="22" fillId="0" borderId="2" xfId="5" applyFont="1" applyFill="1" applyBorder="1" applyAlignment="1">
      <alignment horizontal="center" vertical="center" wrapText="1"/>
    </xf>
    <xf numFmtId="0" fontId="22" fillId="0" borderId="9" xfId="5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2" fillId="0" borderId="2" xfId="5" applyFont="1" applyFill="1" applyBorder="1" applyAlignment="1">
      <alignment horizontal="center" vertical="center"/>
    </xf>
    <xf numFmtId="0" fontId="22" fillId="0" borderId="9" xfId="5" applyFont="1" applyFill="1" applyBorder="1" applyAlignment="1">
      <alignment horizontal="center" vertical="center"/>
    </xf>
    <xf numFmtId="0" fontId="22" fillId="0" borderId="5" xfId="5" applyFont="1" applyFill="1" applyBorder="1" applyAlignment="1">
      <alignment horizontal="center" vertical="top"/>
    </xf>
    <xf numFmtId="0" fontId="22" fillId="0" borderId="4" xfId="5" applyFont="1" applyFill="1" applyBorder="1" applyAlignment="1">
      <alignment horizontal="center" vertical="top"/>
    </xf>
    <xf numFmtId="0" fontId="7" fillId="0" borderId="0" xfId="2" applyFont="1" applyAlignment="1">
      <alignment horizontal="center" vertical="center"/>
    </xf>
    <xf numFmtId="0" fontId="46" fillId="0" borderId="0" xfId="5" applyFont="1" applyAlignment="1">
      <alignment horizontal="center"/>
    </xf>
    <xf numFmtId="0" fontId="8" fillId="0" borderId="0" xfId="2" applyAlignment="1">
      <alignment horizontal="center" vertical="center"/>
    </xf>
    <xf numFmtId="165" fontId="4" fillId="0" borderId="0" xfId="1" applyFont="1" applyAlignment="1">
      <alignment horizontal="center"/>
    </xf>
  </cellXfs>
  <cellStyles count="11">
    <cellStyle name="Comma" xfId="8" builtinId="3"/>
    <cellStyle name="Comma [0]" xfId="1" builtinId="6"/>
    <cellStyle name="Comma [0] 2" xfId="3"/>
    <cellStyle name="Comma [0] 3" xfId="4"/>
    <cellStyle name="Good 2" xfId="6"/>
    <cellStyle name="Normal" xfId="0" builtinId="0"/>
    <cellStyle name="Normal 10_Piutang Pdt" xfId="5"/>
    <cellStyle name="Normal 2" xfId="2"/>
    <cellStyle name="Normal 2 2" xfId="7"/>
    <cellStyle name="Normal_Adm Keuangan" xfId="9"/>
    <cellStyle name="Normal_F-R.A.B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05"/>
  <sheetViews>
    <sheetView view="pageBreakPreview" topLeftCell="A85" zoomScale="87" zoomScaleNormal="110" zoomScaleSheetLayoutView="87" workbookViewId="0">
      <selection activeCell="N97" sqref="N97"/>
    </sheetView>
  </sheetViews>
  <sheetFormatPr defaultRowHeight="15" x14ac:dyDescent="0.25"/>
  <cols>
    <col min="1" max="1" width="5.140625" style="2" customWidth="1"/>
    <col min="2" max="2" width="19.140625" style="2" customWidth="1"/>
    <col min="3" max="3" width="1.5703125" style="2" bestFit="1" customWidth="1"/>
    <col min="4" max="4" width="10.42578125" style="2" customWidth="1"/>
    <col min="5" max="5" width="8.5703125" style="2" customWidth="1"/>
    <col min="6" max="6" width="10.140625" style="24" bestFit="1" customWidth="1"/>
    <col min="7" max="7" width="10" style="24" customWidth="1"/>
    <col min="8" max="8" width="18.5703125" style="2" customWidth="1"/>
    <col min="9" max="9" width="6.7109375" style="2" customWidth="1"/>
    <col min="10" max="10" width="13.140625" style="2" customWidth="1"/>
    <col min="11" max="11" width="7.85546875" style="24" customWidth="1"/>
    <col min="12" max="12" width="14.140625" style="24" customWidth="1"/>
    <col min="13" max="13" width="13.28515625" style="2" customWidth="1"/>
    <col min="14" max="14" width="18.28515625" style="2" customWidth="1"/>
    <col min="15" max="15" width="15.140625" style="2" customWidth="1"/>
    <col min="16" max="16" width="30.5703125" style="2" customWidth="1"/>
    <col min="17" max="17" width="13.85546875" style="2" customWidth="1"/>
    <col min="18" max="18" width="23" style="2" customWidth="1"/>
    <col min="19" max="19" width="9.140625" style="2" customWidth="1"/>
    <col min="20" max="256" width="9.140625" style="2"/>
    <col min="257" max="257" width="5.140625" style="2" customWidth="1"/>
    <col min="258" max="258" width="19.140625" style="2" customWidth="1"/>
    <col min="259" max="259" width="1.5703125" style="2" bestFit="1" customWidth="1"/>
    <col min="260" max="260" width="10.42578125" style="2" customWidth="1"/>
    <col min="261" max="261" width="8.5703125" style="2" customWidth="1"/>
    <col min="262" max="262" width="10.140625" style="2" bestFit="1" customWidth="1"/>
    <col min="263" max="263" width="10" style="2" customWidth="1"/>
    <col min="264" max="264" width="18.5703125" style="2" customWidth="1"/>
    <col min="265" max="265" width="6.7109375" style="2" customWidth="1"/>
    <col min="266" max="266" width="13.140625" style="2" customWidth="1"/>
    <col min="267" max="267" width="7.85546875" style="2" customWidth="1"/>
    <col min="268" max="268" width="14.140625" style="2" customWidth="1"/>
    <col min="269" max="269" width="13.28515625" style="2" customWidth="1"/>
    <col min="270" max="270" width="18.28515625" style="2" customWidth="1"/>
    <col min="271" max="271" width="15.140625" style="2" customWidth="1"/>
    <col min="272" max="272" width="9.140625" style="2"/>
    <col min="273" max="273" width="13.85546875" style="2" customWidth="1"/>
    <col min="274" max="274" width="23" style="2" customWidth="1"/>
    <col min="275" max="275" width="9.140625" style="2" customWidth="1"/>
    <col min="276" max="512" width="9.140625" style="2"/>
    <col min="513" max="513" width="5.140625" style="2" customWidth="1"/>
    <col min="514" max="514" width="19.140625" style="2" customWidth="1"/>
    <col min="515" max="515" width="1.5703125" style="2" bestFit="1" customWidth="1"/>
    <col min="516" max="516" width="10.42578125" style="2" customWidth="1"/>
    <col min="517" max="517" width="8.5703125" style="2" customWidth="1"/>
    <col min="518" max="518" width="10.140625" style="2" bestFit="1" customWidth="1"/>
    <col min="519" max="519" width="10" style="2" customWidth="1"/>
    <col min="520" max="520" width="18.5703125" style="2" customWidth="1"/>
    <col min="521" max="521" width="6.7109375" style="2" customWidth="1"/>
    <col min="522" max="522" width="13.140625" style="2" customWidth="1"/>
    <col min="523" max="523" width="7.85546875" style="2" customWidth="1"/>
    <col min="524" max="524" width="14.140625" style="2" customWidth="1"/>
    <col min="525" max="525" width="13.28515625" style="2" customWidth="1"/>
    <col min="526" max="526" width="18.28515625" style="2" customWidth="1"/>
    <col min="527" max="527" width="15.140625" style="2" customWidth="1"/>
    <col min="528" max="528" width="9.140625" style="2"/>
    <col min="529" max="529" width="13.85546875" style="2" customWidth="1"/>
    <col min="530" max="530" width="23" style="2" customWidth="1"/>
    <col min="531" max="531" width="9.140625" style="2" customWidth="1"/>
    <col min="532" max="768" width="9.140625" style="2"/>
    <col min="769" max="769" width="5.140625" style="2" customWidth="1"/>
    <col min="770" max="770" width="19.140625" style="2" customWidth="1"/>
    <col min="771" max="771" width="1.5703125" style="2" bestFit="1" customWidth="1"/>
    <col min="772" max="772" width="10.42578125" style="2" customWidth="1"/>
    <col min="773" max="773" width="8.5703125" style="2" customWidth="1"/>
    <col min="774" max="774" width="10.140625" style="2" bestFit="1" customWidth="1"/>
    <col min="775" max="775" width="10" style="2" customWidth="1"/>
    <col min="776" max="776" width="18.5703125" style="2" customWidth="1"/>
    <col min="777" max="777" width="6.7109375" style="2" customWidth="1"/>
    <col min="778" max="778" width="13.140625" style="2" customWidth="1"/>
    <col min="779" max="779" width="7.85546875" style="2" customWidth="1"/>
    <col min="780" max="780" width="14.140625" style="2" customWidth="1"/>
    <col min="781" max="781" width="13.28515625" style="2" customWidth="1"/>
    <col min="782" max="782" width="18.28515625" style="2" customWidth="1"/>
    <col min="783" max="783" width="15.140625" style="2" customWidth="1"/>
    <col min="784" max="784" width="9.140625" style="2"/>
    <col min="785" max="785" width="13.85546875" style="2" customWidth="1"/>
    <col min="786" max="786" width="23" style="2" customWidth="1"/>
    <col min="787" max="787" width="9.140625" style="2" customWidth="1"/>
    <col min="788" max="1024" width="9.140625" style="2"/>
    <col min="1025" max="1025" width="5.140625" style="2" customWidth="1"/>
    <col min="1026" max="1026" width="19.140625" style="2" customWidth="1"/>
    <col min="1027" max="1027" width="1.5703125" style="2" bestFit="1" customWidth="1"/>
    <col min="1028" max="1028" width="10.42578125" style="2" customWidth="1"/>
    <col min="1029" max="1029" width="8.5703125" style="2" customWidth="1"/>
    <col min="1030" max="1030" width="10.140625" style="2" bestFit="1" customWidth="1"/>
    <col min="1031" max="1031" width="10" style="2" customWidth="1"/>
    <col min="1032" max="1032" width="18.5703125" style="2" customWidth="1"/>
    <col min="1033" max="1033" width="6.7109375" style="2" customWidth="1"/>
    <col min="1034" max="1034" width="13.140625" style="2" customWidth="1"/>
    <col min="1035" max="1035" width="7.85546875" style="2" customWidth="1"/>
    <col min="1036" max="1036" width="14.140625" style="2" customWidth="1"/>
    <col min="1037" max="1037" width="13.28515625" style="2" customWidth="1"/>
    <col min="1038" max="1038" width="18.28515625" style="2" customWidth="1"/>
    <col min="1039" max="1039" width="15.140625" style="2" customWidth="1"/>
    <col min="1040" max="1040" width="9.140625" style="2"/>
    <col min="1041" max="1041" width="13.85546875" style="2" customWidth="1"/>
    <col min="1042" max="1042" width="23" style="2" customWidth="1"/>
    <col min="1043" max="1043" width="9.140625" style="2" customWidth="1"/>
    <col min="1044" max="1280" width="9.140625" style="2"/>
    <col min="1281" max="1281" width="5.140625" style="2" customWidth="1"/>
    <col min="1282" max="1282" width="19.140625" style="2" customWidth="1"/>
    <col min="1283" max="1283" width="1.5703125" style="2" bestFit="1" customWidth="1"/>
    <col min="1284" max="1284" width="10.42578125" style="2" customWidth="1"/>
    <col min="1285" max="1285" width="8.5703125" style="2" customWidth="1"/>
    <col min="1286" max="1286" width="10.140625" style="2" bestFit="1" customWidth="1"/>
    <col min="1287" max="1287" width="10" style="2" customWidth="1"/>
    <col min="1288" max="1288" width="18.5703125" style="2" customWidth="1"/>
    <col min="1289" max="1289" width="6.7109375" style="2" customWidth="1"/>
    <col min="1290" max="1290" width="13.140625" style="2" customWidth="1"/>
    <col min="1291" max="1291" width="7.85546875" style="2" customWidth="1"/>
    <col min="1292" max="1292" width="14.140625" style="2" customWidth="1"/>
    <col min="1293" max="1293" width="13.28515625" style="2" customWidth="1"/>
    <col min="1294" max="1294" width="18.28515625" style="2" customWidth="1"/>
    <col min="1295" max="1295" width="15.140625" style="2" customWidth="1"/>
    <col min="1296" max="1296" width="9.140625" style="2"/>
    <col min="1297" max="1297" width="13.85546875" style="2" customWidth="1"/>
    <col min="1298" max="1298" width="23" style="2" customWidth="1"/>
    <col min="1299" max="1299" width="9.140625" style="2" customWidth="1"/>
    <col min="1300" max="1536" width="9.140625" style="2"/>
    <col min="1537" max="1537" width="5.140625" style="2" customWidth="1"/>
    <col min="1538" max="1538" width="19.140625" style="2" customWidth="1"/>
    <col min="1539" max="1539" width="1.5703125" style="2" bestFit="1" customWidth="1"/>
    <col min="1540" max="1540" width="10.42578125" style="2" customWidth="1"/>
    <col min="1541" max="1541" width="8.5703125" style="2" customWidth="1"/>
    <col min="1542" max="1542" width="10.140625" style="2" bestFit="1" customWidth="1"/>
    <col min="1543" max="1543" width="10" style="2" customWidth="1"/>
    <col min="1544" max="1544" width="18.5703125" style="2" customWidth="1"/>
    <col min="1545" max="1545" width="6.7109375" style="2" customWidth="1"/>
    <col min="1546" max="1546" width="13.140625" style="2" customWidth="1"/>
    <col min="1547" max="1547" width="7.85546875" style="2" customWidth="1"/>
    <col min="1548" max="1548" width="14.140625" style="2" customWidth="1"/>
    <col min="1549" max="1549" width="13.28515625" style="2" customWidth="1"/>
    <col min="1550" max="1550" width="18.28515625" style="2" customWidth="1"/>
    <col min="1551" max="1551" width="15.140625" style="2" customWidth="1"/>
    <col min="1552" max="1552" width="9.140625" style="2"/>
    <col min="1553" max="1553" width="13.85546875" style="2" customWidth="1"/>
    <col min="1554" max="1554" width="23" style="2" customWidth="1"/>
    <col min="1555" max="1555" width="9.140625" style="2" customWidth="1"/>
    <col min="1556" max="1792" width="9.140625" style="2"/>
    <col min="1793" max="1793" width="5.140625" style="2" customWidth="1"/>
    <col min="1794" max="1794" width="19.140625" style="2" customWidth="1"/>
    <col min="1795" max="1795" width="1.5703125" style="2" bestFit="1" customWidth="1"/>
    <col min="1796" max="1796" width="10.42578125" style="2" customWidth="1"/>
    <col min="1797" max="1797" width="8.5703125" style="2" customWidth="1"/>
    <col min="1798" max="1798" width="10.140625" style="2" bestFit="1" customWidth="1"/>
    <col min="1799" max="1799" width="10" style="2" customWidth="1"/>
    <col min="1800" max="1800" width="18.5703125" style="2" customWidth="1"/>
    <col min="1801" max="1801" width="6.7109375" style="2" customWidth="1"/>
    <col min="1802" max="1802" width="13.140625" style="2" customWidth="1"/>
    <col min="1803" max="1803" width="7.85546875" style="2" customWidth="1"/>
    <col min="1804" max="1804" width="14.140625" style="2" customWidth="1"/>
    <col min="1805" max="1805" width="13.28515625" style="2" customWidth="1"/>
    <col min="1806" max="1806" width="18.28515625" style="2" customWidth="1"/>
    <col min="1807" max="1807" width="15.140625" style="2" customWidth="1"/>
    <col min="1808" max="1808" width="9.140625" style="2"/>
    <col min="1809" max="1809" width="13.85546875" style="2" customWidth="1"/>
    <col min="1810" max="1810" width="23" style="2" customWidth="1"/>
    <col min="1811" max="1811" width="9.140625" style="2" customWidth="1"/>
    <col min="1812" max="2048" width="9.140625" style="2"/>
    <col min="2049" max="2049" width="5.140625" style="2" customWidth="1"/>
    <col min="2050" max="2050" width="19.140625" style="2" customWidth="1"/>
    <col min="2051" max="2051" width="1.5703125" style="2" bestFit="1" customWidth="1"/>
    <col min="2052" max="2052" width="10.42578125" style="2" customWidth="1"/>
    <col min="2053" max="2053" width="8.5703125" style="2" customWidth="1"/>
    <col min="2054" max="2054" width="10.140625" style="2" bestFit="1" customWidth="1"/>
    <col min="2055" max="2055" width="10" style="2" customWidth="1"/>
    <col min="2056" max="2056" width="18.5703125" style="2" customWidth="1"/>
    <col min="2057" max="2057" width="6.7109375" style="2" customWidth="1"/>
    <col min="2058" max="2058" width="13.140625" style="2" customWidth="1"/>
    <col min="2059" max="2059" width="7.85546875" style="2" customWidth="1"/>
    <col min="2060" max="2060" width="14.140625" style="2" customWidth="1"/>
    <col min="2061" max="2061" width="13.28515625" style="2" customWidth="1"/>
    <col min="2062" max="2062" width="18.28515625" style="2" customWidth="1"/>
    <col min="2063" max="2063" width="15.140625" style="2" customWidth="1"/>
    <col min="2064" max="2064" width="9.140625" style="2"/>
    <col min="2065" max="2065" width="13.85546875" style="2" customWidth="1"/>
    <col min="2066" max="2066" width="23" style="2" customWidth="1"/>
    <col min="2067" max="2067" width="9.140625" style="2" customWidth="1"/>
    <col min="2068" max="2304" width="9.140625" style="2"/>
    <col min="2305" max="2305" width="5.140625" style="2" customWidth="1"/>
    <col min="2306" max="2306" width="19.140625" style="2" customWidth="1"/>
    <col min="2307" max="2307" width="1.5703125" style="2" bestFit="1" customWidth="1"/>
    <col min="2308" max="2308" width="10.42578125" style="2" customWidth="1"/>
    <col min="2309" max="2309" width="8.5703125" style="2" customWidth="1"/>
    <col min="2310" max="2310" width="10.140625" style="2" bestFit="1" customWidth="1"/>
    <col min="2311" max="2311" width="10" style="2" customWidth="1"/>
    <col min="2312" max="2312" width="18.5703125" style="2" customWidth="1"/>
    <col min="2313" max="2313" width="6.7109375" style="2" customWidth="1"/>
    <col min="2314" max="2314" width="13.140625" style="2" customWidth="1"/>
    <col min="2315" max="2315" width="7.85546875" style="2" customWidth="1"/>
    <col min="2316" max="2316" width="14.140625" style="2" customWidth="1"/>
    <col min="2317" max="2317" width="13.28515625" style="2" customWidth="1"/>
    <col min="2318" max="2318" width="18.28515625" style="2" customWidth="1"/>
    <col min="2319" max="2319" width="15.140625" style="2" customWidth="1"/>
    <col min="2320" max="2320" width="9.140625" style="2"/>
    <col min="2321" max="2321" width="13.85546875" style="2" customWidth="1"/>
    <col min="2322" max="2322" width="23" style="2" customWidth="1"/>
    <col min="2323" max="2323" width="9.140625" style="2" customWidth="1"/>
    <col min="2324" max="2560" width="9.140625" style="2"/>
    <col min="2561" max="2561" width="5.140625" style="2" customWidth="1"/>
    <col min="2562" max="2562" width="19.140625" style="2" customWidth="1"/>
    <col min="2563" max="2563" width="1.5703125" style="2" bestFit="1" customWidth="1"/>
    <col min="2564" max="2564" width="10.42578125" style="2" customWidth="1"/>
    <col min="2565" max="2565" width="8.5703125" style="2" customWidth="1"/>
    <col min="2566" max="2566" width="10.140625" style="2" bestFit="1" customWidth="1"/>
    <col min="2567" max="2567" width="10" style="2" customWidth="1"/>
    <col min="2568" max="2568" width="18.5703125" style="2" customWidth="1"/>
    <col min="2569" max="2569" width="6.7109375" style="2" customWidth="1"/>
    <col min="2570" max="2570" width="13.140625" style="2" customWidth="1"/>
    <col min="2571" max="2571" width="7.85546875" style="2" customWidth="1"/>
    <col min="2572" max="2572" width="14.140625" style="2" customWidth="1"/>
    <col min="2573" max="2573" width="13.28515625" style="2" customWidth="1"/>
    <col min="2574" max="2574" width="18.28515625" style="2" customWidth="1"/>
    <col min="2575" max="2575" width="15.140625" style="2" customWidth="1"/>
    <col min="2576" max="2576" width="9.140625" style="2"/>
    <col min="2577" max="2577" width="13.85546875" style="2" customWidth="1"/>
    <col min="2578" max="2578" width="23" style="2" customWidth="1"/>
    <col min="2579" max="2579" width="9.140625" style="2" customWidth="1"/>
    <col min="2580" max="2816" width="9.140625" style="2"/>
    <col min="2817" max="2817" width="5.140625" style="2" customWidth="1"/>
    <col min="2818" max="2818" width="19.140625" style="2" customWidth="1"/>
    <col min="2819" max="2819" width="1.5703125" style="2" bestFit="1" customWidth="1"/>
    <col min="2820" max="2820" width="10.42578125" style="2" customWidth="1"/>
    <col min="2821" max="2821" width="8.5703125" style="2" customWidth="1"/>
    <col min="2822" max="2822" width="10.140625" style="2" bestFit="1" customWidth="1"/>
    <col min="2823" max="2823" width="10" style="2" customWidth="1"/>
    <col min="2824" max="2824" width="18.5703125" style="2" customWidth="1"/>
    <col min="2825" max="2825" width="6.7109375" style="2" customWidth="1"/>
    <col min="2826" max="2826" width="13.140625" style="2" customWidth="1"/>
    <col min="2827" max="2827" width="7.85546875" style="2" customWidth="1"/>
    <col min="2828" max="2828" width="14.140625" style="2" customWidth="1"/>
    <col min="2829" max="2829" width="13.28515625" style="2" customWidth="1"/>
    <col min="2830" max="2830" width="18.28515625" style="2" customWidth="1"/>
    <col min="2831" max="2831" width="15.140625" style="2" customWidth="1"/>
    <col min="2832" max="2832" width="9.140625" style="2"/>
    <col min="2833" max="2833" width="13.85546875" style="2" customWidth="1"/>
    <col min="2834" max="2834" width="23" style="2" customWidth="1"/>
    <col min="2835" max="2835" width="9.140625" style="2" customWidth="1"/>
    <col min="2836" max="3072" width="9.140625" style="2"/>
    <col min="3073" max="3073" width="5.140625" style="2" customWidth="1"/>
    <col min="3074" max="3074" width="19.140625" style="2" customWidth="1"/>
    <col min="3075" max="3075" width="1.5703125" style="2" bestFit="1" customWidth="1"/>
    <col min="3076" max="3076" width="10.42578125" style="2" customWidth="1"/>
    <col min="3077" max="3077" width="8.5703125" style="2" customWidth="1"/>
    <col min="3078" max="3078" width="10.140625" style="2" bestFit="1" customWidth="1"/>
    <col min="3079" max="3079" width="10" style="2" customWidth="1"/>
    <col min="3080" max="3080" width="18.5703125" style="2" customWidth="1"/>
    <col min="3081" max="3081" width="6.7109375" style="2" customWidth="1"/>
    <col min="3082" max="3082" width="13.140625" style="2" customWidth="1"/>
    <col min="3083" max="3083" width="7.85546875" style="2" customWidth="1"/>
    <col min="3084" max="3084" width="14.140625" style="2" customWidth="1"/>
    <col min="3085" max="3085" width="13.28515625" style="2" customWidth="1"/>
    <col min="3086" max="3086" width="18.28515625" style="2" customWidth="1"/>
    <col min="3087" max="3087" width="15.140625" style="2" customWidth="1"/>
    <col min="3088" max="3088" width="9.140625" style="2"/>
    <col min="3089" max="3089" width="13.85546875" style="2" customWidth="1"/>
    <col min="3090" max="3090" width="23" style="2" customWidth="1"/>
    <col min="3091" max="3091" width="9.140625" style="2" customWidth="1"/>
    <col min="3092" max="3328" width="9.140625" style="2"/>
    <col min="3329" max="3329" width="5.140625" style="2" customWidth="1"/>
    <col min="3330" max="3330" width="19.140625" style="2" customWidth="1"/>
    <col min="3331" max="3331" width="1.5703125" style="2" bestFit="1" customWidth="1"/>
    <col min="3332" max="3332" width="10.42578125" style="2" customWidth="1"/>
    <col min="3333" max="3333" width="8.5703125" style="2" customWidth="1"/>
    <col min="3334" max="3334" width="10.140625" style="2" bestFit="1" customWidth="1"/>
    <col min="3335" max="3335" width="10" style="2" customWidth="1"/>
    <col min="3336" max="3336" width="18.5703125" style="2" customWidth="1"/>
    <col min="3337" max="3337" width="6.7109375" style="2" customWidth="1"/>
    <col min="3338" max="3338" width="13.140625" style="2" customWidth="1"/>
    <col min="3339" max="3339" width="7.85546875" style="2" customWidth="1"/>
    <col min="3340" max="3340" width="14.140625" style="2" customWidth="1"/>
    <col min="3341" max="3341" width="13.28515625" style="2" customWidth="1"/>
    <col min="3342" max="3342" width="18.28515625" style="2" customWidth="1"/>
    <col min="3343" max="3343" width="15.140625" style="2" customWidth="1"/>
    <col min="3344" max="3344" width="9.140625" style="2"/>
    <col min="3345" max="3345" width="13.85546875" style="2" customWidth="1"/>
    <col min="3346" max="3346" width="23" style="2" customWidth="1"/>
    <col min="3347" max="3347" width="9.140625" style="2" customWidth="1"/>
    <col min="3348" max="3584" width="9.140625" style="2"/>
    <col min="3585" max="3585" width="5.140625" style="2" customWidth="1"/>
    <col min="3586" max="3586" width="19.140625" style="2" customWidth="1"/>
    <col min="3587" max="3587" width="1.5703125" style="2" bestFit="1" customWidth="1"/>
    <col min="3588" max="3588" width="10.42578125" style="2" customWidth="1"/>
    <col min="3589" max="3589" width="8.5703125" style="2" customWidth="1"/>
    <col min="3590" max="3590" width="10.140625" style="2" bestFit="1" customWidth="1"/>
    <col min="3591" max="3591" width="10" style="2" customWidth="1"/>
    <col min="3592" max="3592" width="18.5703125" style="2" customWidth="1"/>
    <col min="3593" max="3593" width="6.7109375" style="2" customWidth="1"/>
    <col min="3594" max="3594" width="13.140625" style="2" customWidth="1"/>
    <col min="3595" max="3595" width="7.85546875" style="2" customWidth="1"/>
    <col min="3596" max="3596" width="14.140625" style="2" customWidth="1"/>
    <col min="3597" max="3597" width="13.28515625" style="2" customWidth="1"/>
    <col min="3598" max="3598" width="18.28515625" style="2" customWidth="1"/>
    <col min="3599" max="3599" width="15.140625" style="2" customWidth="1"/>
    <col min="3600" max="3600" width="9.140625" style="2"/>
    <col min="3601" max="3601" width="13.85546875" style="2" customWidth="1"/>
    <col min="3602" max="3602" width="23" style="2" customWidth="1"/>
    <col min="3603" max="3603" width="9.140625" style="2" customWidth="1"/>
    <col min="3604" max="3840" width="9.140625" style="2"/>
    <col min="3841" max="3841" width="5.140625" style="2" customWidth="1"/>
    <col min="3842" max="3842" width="19.140625" style="2" customWidth="1"/>
    <col min="3843" max="3843" width="1.5703125" style="2" bestFit="1" customWidth="1"/>
    <col min="3844" max="3844" width="10.42578125" style="2" customWidth="1"/>
    <col min="3845" max="3845" width="8.5703125" style="2" customWidth="1"/>
    <col min="3846" max="3846" width="10.140625" style="2" bestFit="1" customWidth="1"/>
    <col min="3847" max="3847" width="10" style="2" customWidth="1"/>
    <col min="3848" max="3848" width="18.5703125" style="2" customWidth="1"/>
    <col min="3849" max="3849" width="6.7109375" style="2" customWidth="1"/>
    <col min="3850" max="3850" width="13.140625" style="2" customWidth="1"/>
    <col min="3851" max="3851" width="7.85546875" style="2" customWidth="1"/>
    <col min="3852" max="3852" width="14.140625" style="2" customWidth="1"/>
    <col min="3853" max="3853" width="13.28515625" style="2" customWidth="1"/>
    <col min="3854" max="3854" width="18.28515625" style="2" customWidth="1"/>
    <col min="3855" max="3855" width="15.140625" style="2" customWidth="1"/>
    <col min="3856" max="3856" width="9.140625" style="2"/>
    <col min="3857" max="3857" width="13.85546875" style="2" customWidth="1"/>
    <col min="3858" max="3858" width="23" style="2" customWidth="1"/>
    <col min="3859" max="3859" width="9.140625" style="2" customWidth="1"/>
    <col min="3860" max="4096" width="9.140625" style="2"/>
    <col min="4097" max="4097" width="5.140625" style="2" customWidth="1"/>
    <col min="4098" max="4098" width="19.140625" style="2" customWidth="1"/>
    <col min="4099" max="4099" width="1.5703125" style="2" bestFit="1" customWidth="1"/>
    <col min="4100" max="4100" width="10.42578125" style="2" customWidth="1"/>
    <col min="4101" max="4101" width="8.5703125" style="2" customWidth="1"/>
    <col min="4102" max="4102" width="10.140625" style="2" bestFit="1" customWidth="1"/>
    <col min="4103" max="4103" width="10" style="2" customWidth="1"/>
    <col min="4104" max="4104" width="18.5703125" style="2" customWidth="1"/>
    <col min="4105" max="4105" width="6.7109375" style="2" customWidth="1"/>
    <col min="4106" max="4106" width="13.140625" style="2" customWidth="1"/>
    <col min="4107" max="4107" width="7.85546875" style="2" customWidth="1"/>
    <col min="4108" max="4108" width="14.140625" style="2" customWidth="1"/>
    <col min="4109" max="4109" width="13.28515625" style="2" customWidth="1"/>
    <col min="4110" max="4110" width="18.28515625" style="2" customWidth="1"/>
    <col min="4111" max="4111" width="15.140625" style="2" customWidth="1"/>
    <col min="4112" max="4112" width="9.140625" style="2"/>
    <col min="4113" max="4113" width="13.85546875" style="2" customWidth="1"/>
    <col min="4114" max="4114" width="23" style="2" customWidth="1"/>
    <col min="4115" max="4115" width="9.140625" style="2" customWidth="1"/>
    <col min="4116" max="4352" width="9.140625" style="2"/>
    <col min="4353" max="4353" width="5.140625" style="2" customWidth="1"/>
    <col min="4354" max="4354" width="19.140625" style="2" customWidth="1"/>
    <col min="4355" max="4355" width="1.5703125" style="2" bestFit="1" customWidth="1"/>
    <col min="4356" max="4356" width="10.42578125" style="2" customWidth="1"/>
    <col min="4357" max="4357" width="8.5703125" style="2" customWidth="1"/>
    <col min="4358" max="4358" width="10.140625" style="2" bestFit="1" customWidth="1"/>
    <col min="4359" max="4359" width="10" style="2" customWidth="1"/>
    <col min="4360" max="4360" width="18.5703125" style="2" customWidth="1"/>
    <col min="4361" max="4361" width="6.7109375" style="2" customWidth="1"/>
    <col min="4362" max="4362" width="13.140625" style="2" customWidth="1"/>
    <col min="4363" max="4363" width="7.85546875" style="2" customWidth="1"/>
    <col min="4364" max="4364" width="14.140625" style="2" customWidth="1"/>
    <col min="4365" max="4365" width="13.28515625" style="2" customWidth="1"/>
    <col min="4366" max="4366" width="18.28515625" style="2" customWidth="1"/>
    <col min="4367" max="4367" width="15.140625" style="2" customWidth="1"/>
    <col min="4368" max="4368" width="9.140625" style="2"/>
    <col min="4369" max="4369" width="13.85546875" style="2" customWidth="1"/>
    <col min="4370" max="4370" width="23" style="2" customWidth="1"/>
    <col min="4371" max="4371" width="9.140625" style="2" customWidth="1"/>
    <col min="4372" max="4608" width="9.140625" style="2"/>
    <col min="4609" max="4609" width="5.140625" style="2" customWidth="1"/>
    <col min="4610" max="4610" width="19.140625" style="2" customWidth="1"/>
    <col min="4611" max="4611" width="1.5703125" style="2" bestFit="1" customWidth="1"/>
    <col min="4612" max="4612" width="10.42578125" style="2" customWidth="1"/>
    <col min="4613" max="4613" width="8.5703125" style="2" customWidth="1"/>
    <col min="4614" max="4614" width="10.140625" style="2" bestFit="1" customWidth="1"/>
    <col min="4615" max="4615" width="10" style="2" customWidth="1"/>
    <col min="4616" max="4616" width="18.5703125" style="2" customWidth="1"/>
    <col min="4617" max="4617" width="6.7109375" style="2" customWidth="1"/>
    <col min="4618" max="4618" width="13.140625" style="2" customWidth="1"/>
    <col min="4619" max="4619" width="7.85546875" style="2" customWidth="1"/>
    <col min="4620" max="4620" width="14.140625" style="2" customWidth="1"/>
    <col min="4621" max="4621" width="13.28515625" style="2" customWidth="1"/>
    <col min="4622" max="4622" width="18.28515625" style="2" customWidth="1"/>
    <col min="4623" max="4623" width="15.140625" style="2" customWidth="1"/>
    <col min="4624" max="4624" width="9.140625" style="2"/>
    <col min="4625" max="4625" width="13.85546875" style="2" customWidth="1"/>
    <col min="4626" max="4626" width="23" style="2" customWidth="1"/>
    <col min="4627" max="4627" width="9.140625" style="2" customWidth="1"/>
    <col min="4628" max="4864" width="9.140625" style="2"/>
    <col min="4865" max="4865" width="5.140625" style="2" customWidth="1"/>
    <col min="4866" max="4866" width="19.140625" style="2" customWidth="1"/>
    <col min="4867" max="4867" width="1.5703125" style="2" bestFit="1" customWidth="1"/>
    <col min="4868" max="4868" width="10.42578125" style="2" customWidth="1"/>
    <col min="4869" max="4869" width="8.5703125" style="2" customWidth="1"/>
    <col min="4870" max="4870" width="10.140625" style="2" bestFit="1" customWidth="1"/>
    <col min="4871" max="4871" width="10" style="2" customWidth="1"/>
    <col min="4872" max="4872" width="18.5703125" style="2" customWidth="1"/>
    <col min="4873" max="4873" width="6.7109375" style="2" customWidth="1"/>
    <col min="4874" max="4874" width="13.140625" style="2" customWidth="1"/>
    <col min="4875" max="4875" width="7.85546875" style="2" customWidth="1"/>
    <col min="4876" max="4876" width="14.140625" style="2" customWidth="1"/>
    <col min="4877" max="4877" width="13.28515625" style="2" customWidth="1"/>
    <col min="4878" max="4878" width="18.28515625" style="2" customWidth="1"/>
    <col min="4879" max="4879" width="15.140625" style="2" customWidth="1"/>
    <col min="4880" max="4880" width="9.140625" style="2"/>
    <col min="4881" max="4881" width="13.85546875" style="2" customWidth="1"/>
    <col min="4882" max="4882" width="23" style="2" customWidth="1"/>
    <col min="4883" max="4883" width="9.140625" style="2" customWidth="1"/>
    <col min="4884" max="5120" width="9.140625" style="2"/>
    <col min="5121" max="5121" width="5.140625" style="2" customWidth="1"/>
    <col min="5122" max="5122" width="19.140625" style="2" customWidth="1"/>
    <col min="5123" max="5123" width="1.5703125" style="2" bestFit="1" customWidth="1"/>
    <col min="5124" max="5124" width="10.42578125" style="2" customWidth="1"/>
    <col min="5125" max="5125" width="8.5703125" style="2" customWidth="1"/>
    <col min="5126" max="5126" width="10.140625" style="2" bestFit="1" customWidth="1"/>
    <col min="5127" max="5127" width="10" style="2" customWidth="1"/>
    <col min="5128" max="5128" width="18.5703125" style="2" customWidth="1"/>
    <col min="5129" max="5129" width="6.7109375" style="2" customWidth="1"/>
    <col min="5130" max="5130" width="13.140625" style="2" customWidth="1"/>
    <col min="5131" max="5131" width="7.85546875" style="2" customWidth="1"/>
    <col min="5132" max="5132" width="14.140625" style="2" customWidth="1"/>
    <col min="5133" max="5133" width="13.28515625" style="2" customWidth="1"/>
    <col min="5134" max="5134" width="18.28515625" style="2" customWidth="1"/>
    <col min="5135" max="5135" width="15.140625" style="2" customWidth="1"/>
    <col min="5136" max="5136" width="9.140625" style="2"/>
    <col min="5137" max="5137" width="13.85546875" style="2" customWidth="1"/>
    <col min="5138" max="5138" width="23" style="2" customWidth="1"/>
    <col min="5139" max="5139" width="9.140625" style="2" customWidth="1"/>
    <col min="5140" max="5376" width="9.140625" style="2"/>
    <col min="5377" max="5377" width="5.140625" style="2" customWidth="1"/>
    <col min="5378" max="5378" width="19.140625" style="2" customWidth="1"/>
    <col min="5379" max="5379" width="1.5703125" style="2" bestFit="1" customWidth="1"/>
    <col min="5380" max="5380" width="10.42578125" style="2" customWidth="1"/>
    <col min="5381" max="5381" width="8.5703125" style="2" customWidth="1"/>
    <col min="5382" max="5382" width="10.140625" style="2" bestFit="1" customWidth="1"/>
    <col min="5383" max="5383" width="10" style="2" customWidth="1"/>
    <col min="5384" max="5384" width="18.5703125" style="2" customWidth="1"/>
    <col min="5385" max="5385" width="6.7109375" style="2" customWidth="1"/>
    <col min="5386" max="5386" width="13.140625" style="2" customWidth="1"/>
    <col min="5387" max="5387" width="7.85546875" style="2" customWidth="1"/>
    <col min="5388" max="5388" width="14.140625" style="2" customWidth="1"/>
    <col min="5389" max="5389" width="13.28515625" style="2" customWidth="1"/>
    <col min="5390" max="5390" width="18.28515625" style="2" customWidth="1"/>
    <col min="5391" max="5391" width="15.140625" style="2" customWidth="1"/>
    <col min="5392" max="5392" width="9.140625" style="2"/>
    <col min="5393" max="5393" width="13.85546875" style="2" customWidth="1"/>
    <col min="5394" max="5394" width="23" style="2" customWidth="1"/>
    <col min="5395" max="5395" width="9.140625" style="2" customWidth="1"/>
    <col min="5396" max="5632" width="9.140625" style="2"/>
    <col min="5633" max="5633" width="5.140625" style="2" customWidth="1"/>
    <col min="5634" max="5634" width="19.140625" style="2" customWidth="1"/>
    <col min="5635" max="5635" width="1.5703125" style="2" bestFit="1" customWidth="1"/>
    <col min="5636" max="5636" width="10.42578125" style="2" customWidth="1"/>
    <col min="5637" max="5637" width="8.5703125" style="2" customWidth="1"/>
    <col min="5638" max="5638" width="10.140625" style="2" bestFit="1" customWidth="1"/>
    <col min="5639" max="5639" width="10" style="2" customWidth="1"/>
    <col min="5640" max="5640" width="18.5703125" style="2" customWidth="1"/>
    <col min="5641" max="5641" width="6.7109375" style="2" customWidth="1"/>
    <col min="5642" max="5642" width="13.140625" style="2" customWidth="1"/>
    <col min="5643" max="5643" width="7.85546875" style="2" customWidth="1"/>
    <col min="5644" max="5644" width="14.140625" style="2" customWidth="1"/>
    <col min="5645" max="5645" width="13.28515625" style="2" customWidth="1"/>
    <col min="5646" max="5646" width="18.28515625" style="2" customWidth="1"/>
    <col min="5647" max="5647" width="15.140625" style="2" customWidth="1"/>
    <col min="5648" max="5648" width="9.140625" style="2"/>
    <col min="5649" max="5649" width="13.85546875" style="2" customWidth="1"/>
    <col min="5650" max="5650" width="23" style="2" customWidth="1"/>
    <col min="5651" max="5651" width="9.140625" style="2" customWidth="1"/>
    <col min="5652" max="5888" width="9.140625" style="2"/>
    <col min="5889" max="5889" width="5.140625" style="2" customWidth="1"/>
    <col min="5890" max="5890" width="19.140625" style="2" customWidth="1"/>
    <col min="5891" max="5891" width="1.5703125" style="2" bestFit="1" customWidth="1"/>
    <col min="5892" max="5892" width="10.42578125" style="2" customWidth="1"/>
    <col min="5893" max="5893" width="8.5703125" style="2" customWidth="1"/>
    <col min="5894" max="5894" width="10.140625" style="2" bestFit="1" customWidth="1"/>
    <col min="5895" max="5895" width="10" style="2" customWidth="1"/>
    <col min="5896" max="5896" width="18.5703125" style="2" customWidth="1"/>
    <col min="5897" max="5897" width="6.7109375" style="2" customWidth="1"/>
    <col min="5898" max="5898" width="13.140625" style="2" customWidth="1"/>
    <col min="5899" max="5899" width="7.85546875" style="2" customWidth="1"/>
    <col min="5900" max="5900" width="14.140625" style="2" customWidth="1"/>
    <col min="5901" max="5901" width="13.28515625" style="2" customWidth="1"/>
    <col min="5902" max="5902" width="18.28515625" style="2" customWidth="1"/>
    <col min="5903" max="5903" width="15.140625" style="2" customWidth="1"/>
    <col min="5904" max="5904" width="9.140625" style="2"/>
    <col min="5905" max="5905" width="13.85546875" style="2" customWidth="1"/>
    <col min="5906" max="5906" width="23" style="2" customWidth="1"/>
    <col min="5907" max="5907" width="9.140625" style="2" customWidth="1"/>
    <col min="5908" max="6144" width="9.140625" style="2"/>
    <col min="6145" max="6145" width="5.140625" style="2" customWidth="1"/>
    <col min="6146" max="6146" width="19.140625" style="2" customWidth="1"/>
    <col min="6147" max="6147" width="1.5703125" style="2" bestFit="1" customWidth="1"/>
    <col min="6148" max="6148" width="10.42578125" style="2" customWidth="1"/>
    <col min="6149" max="6149" width="8.5703125" style="2" customWidth="1"/>
    <col min="6150" max="6150" width="10.140625" style="2" bestFit="1" customWidth="1"/>
    <col min="6151" max="6151" width="10" style="2" customWidth="1"/>
    <col min="6152" max="6152" width="18.5703125" style="2" customWidth="1"/>
    <col min="6153" max="6153" width="6.7109375" style="2" customWidth="1"/>
    <col min="6154" max="6154" width="13.140625" style="2" customWidth="1"/>
    <col min="6155" max="6155" width="7.85546875" style="2" customWidth="1"/>
    <col min="6156" max="6156" width="14.140625" style="2" customWidth="1"/>
    <col min="6157" max="6157" width="13.28515625" style="2" customWidth="1"/>
    <col min="6158" max="6158" width="18.28515625" style="2" customWidth="1"/>
    <col min="6159" max="6159" width="15.140625" style="2" customWidth="1"/>
    <col min="6160" max="6160" width="9.140625" style="2"/>
    <col min="6161" max="6161" width="13.85546875" style="2" customWidth="1"/>
    <col min="6162" max="6162" width="23" style="2" customWidth="1"/>
    <col min="6163" max="6163" width="9.140625" style="2" customWidth="1"/>
    <col min="6164" max="6400" width="9.140625" style="2"/>
    <col min="6401" max="6401" width="5.140625" style="2" customWidth="1"/>
    <col min="6402" max="6402" width="19.140625" style="2" customWidth="1"/>
    <col min="6403" max="6403" width="1.5703125" style="2" bestFit="1" customWidth="1"/>
    <col min="6404" max="6404" width="10.42578125" style="2" customWidth="1"/>
    <col min="6405" max="6405" width="8.5703125" style="2" customWidth="1"/>
    <col min="6406" max="6406" width="10.140625" style="2" bestFit="1" customWidth="1"/>
    <col min="6407" max="6407" width="10" style="2" customWidth="1"/>
    <col min="6408" max="6408" width="18.5703125" style="2" customWidth="1"/>
    <col min="6409" max="6409" width="6.7109375" style="2" customWidth="1"/>
    <col min="6410" max="6410" width="13.140625" style="2" customWidth="1"/>
    <col min="6411" max="6411" width="7.85546875" style="2" customWidth="1"/>
    <col min="6412" max="6412" width="14.140625" style="2" customWidth="1"/>
    <col min="6413" max="6413" width="13.28515625" style="2" customWidth="1"/>
    <col min="6414" max="6414" width="18.28515625" style="2" customWidth="1"/>
    <col min="6415" max="6415" width="15.140625" style="2" customWidth="1"/>
    <col min="6416" max="6416" width="9.140625" style="2"/>
    <col min="6417" max="6417" width="13.85546875" style="2" customWidth="1"/>
    <col min="6418" max="6418" width="23" style="2" customWidth="1"/>
    <col min="6419" max="6419" width="9.140625" style="2" customWidth="1"/>
    <col min="6420" max="6656" width="9.140625" style="2"/>
    <col min="6657" max="6657" width="5.140625" style="2" customWidth="1"/>
    <col min="6658" max="6658" width="19.140625" style="2" customWidth="1"/>
    <col min="6659" max="6659" width="1.5703125" style="2" bestFit="1" customWidth="1"/>
    <col min="6660" max="6660" width="10.42578125" style="2" customWidth="1"/>
    <col min="6661" max="6661" width="8.5703125" style="2" customWidth="1"/>
    <col min="6662" max="6662" width="10.140625" style="2" bestFit="1" customWidth="1"/>
    <col min="6663" max="6663" width="10" style="2" customWidth="1"/>
    <col min="6664" max="6664" width="18.5703125" style="2" customWidth="1"/>
    <col min="6665" max="6665" width="6.7109375" style="2" customWidth="1"/>
    <col min="6666" max="6666" width="13.140625" style="2" customWidth="1"/>
    <col min="6667" max="6667" width="7.85546875" style="2" customWidth="1"/>
    <col min="6668" max="6668" width="14.140625" style="2" customWidth="1"/>
    <col min="6669" max="6669" width="13.28515625" style="2" customWidth="1"/>
    <col min="6670" max="6670" width="18.28515625" style="2" customWidth="1"/>
    <col min="6671" max="6671" width="15.140625" style="2" customWidth="1"/>
    <col min="6672" max="6672" width="9.140625" style="2"/>
    <col min="6673" max="6673" width="13.85546875" style="2" customWidth="1"/>
    <col min="6674" max="6674" width="23" style="2" customWidth="1"/>
    <col min="6675" max="6675" width="9.140625" style="2" customWidth="1"/>
    <col min="6676" max="6912" width="9.140625" style="2"/>
    <col min="6913" max="6913" width="5.140625" style="2" customWidth="1"/>
    <col min="6914" max="6914" width="19.140625" style="2" customWidth="1"/>
    <col min="6915" max="6915" width="1.5703125" style="2" bestFit="1" customWidth="1"/>
    <col min="6916" max="6916" width="10.42578125" style="2" customWidth="1"/>
    <col min="6917" max="6917" width="8.5703125" style="2" customWidth="1"/>
    <col min="6918" max="6918" width="10.140625" style="2" bestFit="1" customWidth="1"/>
    <col min="6919" max="6919" width="10" style="2" customWidth="1"/>
    <col min="6920" max="6920" width="18.5703125" style="2" customWidth="1"/>
    <col min="6921" max="6921" width="6.7109375" style="2" customWidth="1"/>
    <col min="6922" max="6922" width="13.140625" style="2" customWidth="1"/>
    <col min="6923" max="6923" width="7.85546875" style="2" customWidth="1"/>
    <col min="6924" max="6924" width="14.140625" style="2" customWidth="1"/>
    <col min="6925" max="6925" width="13.28515625" style="2" customWidth="1"/>
    <col min="6926" max="6926" width="18.28515625" style="2" customWidth="1"/>
    <col min="6927" max="6927" width="15.140625" style="2" customWidth="1"/>
    <col min="6928" max="6928" width="9.140625" style="2"/>
    <col min="6929" max="6929" width="13.85546875" style="2" customWidth="1"/>
    <col min="6930" max="6930" width="23" style="2" customWidth="1"/>
    <col min="6931" max="6931" width="9.140625" style="2" customWidth="1"/>
    <col min="6932" max="7168" width="9.140625" style="2"/>
    <col min="7169" max="7169" width="5.140625" style="2" customWidth="1"/>
    <col min="7170" max="7170" width="19.140625" style="2" customWidth="1"/>
    <col min="7171" max="7171" width="1.5703125" style="2" bestFit="1" customWidth="1"/>
    <col min="7172" max="7172" width="10.42578125" style="2" customWidth="1"/>
    <col min="7173" max="7173" width="8.5703125" style="2" customWidth="1"/>
    <col min="7174" max="7174" width="10.140625" style="2" bestFit="1" customWidth="1"/>
    <col min="7175" max="7175" width="10" style="2" customWidth="1"/>
    <col min="7176" max="7176" width="18.5703125" style="2" customWidth="1"/>
    <col min="7177" max="7177" width="6.7109375" style="2" customWidth="1"/>
    <col min="7178" max="7178" width="13.140625" style="2" customWidth="1"/>
    <col min="7179" max="7179" width="7.85546875" style="2" customWidth="1"/>
    <col min="7180" max="7180" width="14.140625" style="2" customWidth="1"/>
    <col min="7181" max="7181" width="13.28515625" style="2" customWidth="1"/>
    <col min="7182" max="7182" width="18.28515625" style="2" customWidth="1"/>
    <col min="7183" max="7183" width="15.140625" style="2" customWidth="1"/>
    <col min="7184" max="7184" width="9.140625" style="2"/>
    <col min="7185" max="7185" width="13.85546875" style="2" customWidth="1"/>
    <col min="7186" max="7186" width="23" style="2" customWidth="1"/>
    <col min="7187" max="7187" width="9.140625" style="2" customWidth="1"/>
    <col min="7188" max="7424" width="9.140625" style="2"/>
    <col min="7425" max="7425" width="5.140625" style="2" customWidth="1"/>
    <col min="7426" max="7426" width="19.140625" style="2" customWidth="1"/>
    <col min="7427" max="7427" width="1.5703125" style="2" bestFit="1" customWidth="1"/>
    <col min="7428" max="7428" width="10.42578125" style="2" customWidth="1"/>
    <col min="7429" max="7429" width="8.5703125" style="2" customWidth="1"/>
    <col min="7430" max="7430" width="10.140625" style="2" bestFit="1" customWidth="1"/>
    <col min="7431" max="7431" width="10" style="2" customWidth="1"/>
    <col min="7432" max="7432" width="18.5703125" style="2" customWidth="1"/>
    <col min="7433" max="7433" width="6.7109375" style="2" customWidth="1"/>
    <col min="7434" max="7434" width="13.140625" style="2" customWidth="1"/>
    <col min="7435" max="7435" width="7.85546875" style="2" customWidth="1"/>
    <col min="7436" max="7436" width="14.140625" style="2" customWidth="1"/>
    <col min="7437" max="7437" width="13.28515625" style="2" customWidth="1"/>
    <col min="7438" max="7438" width="18.28515625" style="2" customWidth="1"/>
    <col min="7439" max="7439" width="15.140625" style="2" customWidth="1"/>
    <col min="7440" max="7440" width="9.140625" style="2"/>
    <col min="7441" max="7441" width="13.85546875" style="2" customWidth="1"/>
    <col min="7442" max="7442" width="23" style="2" customWidth="1"/>
    <col min="7443" max="7443" width="9.140625" style="2" customWidth="1"/>
    <col min="7444" max="7680" width="9.140625" style="2"/>
    <col min="7681" max="7681" width="5.140625" style="2" customWidth="1"/>
    <col min="7682" max="7682" width="19.140625" style="2" customWidth="1"/>
    <col min="7683" max="7683" width="1.5703125" style="2" bestFit="1" customWidth="1"/>
    <col min="7684" max="7684" width="10.42578125" style="2" customWidth="1"/>
    <col min="7685" max="7685" width="8.5703125" style="2" customWidth="1"/>
    <col min="7686" max="7686" width="10.140625" style="2" bestFit="1" customWidth="1"/>
    <col min="7687" max="7687" width="10" style="2" customWidth="1"/>
    <col min="7688" max="7688" width="18.5703125" style="2" customWidth="1"/>
    <col min="7689" max="7689" width="6.7109375" style="2" customWidth="1"/>
    <col min="7690" max="7690" width="13.140625" style="2" customWidth="1"/>
    <col min="7691" max="7691" width="7.85546875" style="2" customWidth="1"/>
    <col min="7692" max="7692" width="14.140625" style="2" customWidth="1"/>
    <col min="7693" max="7693" width="13.28515625" style="2" customWidth="1"/>
    <col min="7694" max="7694" width="18.28515625" style="2" customWidth="1"/>
    <col min="7695" max="7695" width="15.140625" style="2" customWidth="1"/>
    <col min="7696" max="7696" width="9.140625" style="2"/>
    <col min="7697" max="7697" width="13.85546875" style="2" customWidth="1"/>
    <col min="7698" max="7698" width="23" style="2" customWidth="1"/>
    <col min="7699" max="7699" width="9.140625" style="2" customWidth="1"/>
    <col min="7700" max="7936" width="9.140625" style="2"/>
    <col min="7937" max="7937" width="5.140625" style="2" customWidth="1"/>
    <col min="7938" max="7938" width="19.140625" style="2" customWidth="1"/>
    <col min="7939" max="7939" width="1.5703125" style="2" bestFit="1" customWidth="1"/>
    <col min="7940" max="7940" width="10.42578125" style="2" customWidth="1"/>
    <col min="7941" max="7941" width="8.5703125" style="2" customWidth="1"/>
    <col min="7942" max="7942" width="10.140625" style="2" bestFit="1" customWidth="1"/>
    <col min="7943" max="7943" width="10" style="2" customWidth="1"/>
    <col min="7944" max="7944" width="18.5703125" style="2" customWidth="1"/>
    <col min="7945" max="7945" width="6.7109375" style="2" customWidth="1"/>
    <col min="7946" max="7946" width="13.140625" style="2" customWidth="1"/>
    <col min="7947" max="7947" width="7.85546875" style="2" customWidth="1"/>
    <col min="7948" max="7948" width="14.140625" style="2" customWidth="1"/>
    <col min="7949" max="7949" width="13.28515625" style="2" customWidth="1"/>
    <col min="7950" max="7950" width="18.28515625" style="2" customWidth="1"/>
    <col min="7951" max="7951" width="15.140625" style="2" customWidth="1"/>
    <col min="7952" max="7952" width="9.140625" style="2"/>
    <col min="7953" max="7953" width="13.85546875" style="2" customWidth="1"/>
    <col min="7954" max="7954" width="23" style="2" customWidth="1"/>
    <col min="7955" max="7955" width="9.140625" style="2" customWidth="1"/>
    <col min="7956" max="8192" width="9.140625" style="2"/>
    <col min="8193" max="8193" width="5.140625" style="2" customWidth="1"/>
    <col min="8194" max="8194" width="19.140625" style="2" customWidth="1"/>
    <col min="8195" max="8195" width="1.5703125" style="2" bestFit="1" customWidth="1"/>
    <col min="8196" max="8196" width="10.42578125" style="2" customWidth="1"/>
    <col min="8197" max="8197" width="8.5703125" style="2" customWidth="1"/>
    <col min="8198" max="8198" width="10.140625" style="2" bestFit="1" customWidth="1"/>
    <col min="8199" max="8199" width="10" style="2" customWidth="1"/>
    <col min="8200" max="8200" width="18.5703125" style="2" customWidth="1"/>
    <col min="8201" max="8201" width="6.7109375" style="2" customWidth="1"/>
    <col min="8202" max="8202" width="13.140625" style="2" customWidth="1"/>
    <col min="8203" max="8203" width="7.85546875" style="2" customWidth="1"/>
    <col min="8204" max="8204" width="14.140625" style="2" customWidth="1"/>
    <col min="8205" max="8205" width="13.28515625" style="2" customWidth="1"/>
    <col min="8206" max="8206" width="18.28515625" style="2" customWidth="1"/>
    <col min="8207" max="8207" width="15.140625" style="2" customWidth="1"/>
    <col min="8208" max="8208" width="9.140625" style="2"/>
    <col min="8209" max="8209" width="13.85546875" style="2" customWidth="1"/>
    <col min="8210" max="8210" width="23" style="2" customWidth="1"/>
    <col min="8211" max="8211" width="9.140625" style="2" customWidth="1"/>
    <col min="8212" max="8448" width="9.140625" style="2"/>
    <col min="8449" max="8449" width="5.140625" style="2" customWidth="1"/>
    <col min="8450" max="8450" width="19.140625" style="2" customWidth="1"/>
    <col min="8451" max="8451" width="1.5703125" style="2" bestFit="1" customWidth="1"/>
    <col min="8452" max="8452" width="10.42578125" style="2" customWidth="1"/>
    <col min="8453" max="8453" width="8.5703125" style="2" customWidth="1"/>
    <col min="8454" max="8454" width="10.140625" style="2" bestFit="1" customWidth="1"/>
    <col min="8455" max="8455" width="10" style="2" customWidth="1"/>
    <col min="8456" max="8456" width="18.5703125" style="2" customWidth="1"/>
    <col min="8457" max="8457" width="6.7109375" style="2" customWidth="1"/>
    <col min="8458" max="8458" width="13.140625" style="2" customWidth="1"/>
    <col min="8459" max="8459" width="7.85546875" style="2" customWidth="1"/>
    <col min="8460" max="8460" width="14.140625" style="2" customWidth="1"/>
    <col min="8461" max="8461" width="13.28515625" style="2" customWidth="1"/>
    <col min="8462" max="8462" width="18.28515625" style="2" customWidth="1"/>
    <col min="8463" max="8463" width="15.140625" style="2" customWidth="1"/>
    <col min="8464" max="8464" width="9.140625" style="2"/>
    <col min="8465" max="8465" width="13.85546875" style="2" customWidth="1"/>
    <col min="8466" max="8466" width="23" style="2" customWidth="1"/>
    <col min="8467" max="8467" width="9.140625" style="2" customWidth="1"/>
    <col min="8468" max="8704" width="9.140625" style="2"/>
    <col min="8705" max="8705" width="5.140625" style="2" customWidth="1"/>
    <col min="8706" max="8706" width="19.140625" style="2" customWidth="1"/>
    <col min="8707" max="8707" width="1.5703125" style="2" bestFit="1" customWidth="1"/>
    <col min="8708" max="8708" width="10.42578125" style="2" customWidth="1"/>
    <col min="8709" max="8709" width="8.5703125" style="2" customWidth="1"/>
    <col min="8710" max="8710" width="10.140625" style="2" bestFit="1" customWidth="1"/>
    <col min="8711" max="8711" width="10" style="2" customWidth="1"/>
    <col min="8712" max="8712" width="18.5703125" style="2" customWidth="1"/>
    <col min="8713" max="8713" width="6.7109375" style="2" customWidth="1"/>
    <col min="8714" max="8714" width="13.140625" style="2" customWidth="1"/>
    <col min="8715" max="8715" width="7.85546875" style="2" customWidth="1"/>
    <col min="8716" max="8716" width="14.140625" style="2" customWidth="1"/>
    <col min="8717" max="8717" width="13.28515625" style="2" customWidth="1"/>
    <col min="8718" max="8718" width="18.28515625" style="2" customWidth="1"/>
    <col min="8719" max="8719" width="15.140625" style="2" customWidth="1"/>
    <col min="8720" max="8720" width="9.140625" style="2"/>
    <col min="8721" max="8721" width="13.85546875" style="2" customWidth="1"/>
    <col min="8722" max="8722" width="23" style="2" customWidth="1"/>
    <col min="8723" max="8723" width="9.140625" style="2" customWidth="1"/>
    <col min="8724" max="8960" width="9.140625" style="2"/>
    <col min="8961" max="8961" width="5.140625" style="2" customWidth="1"/>
    <col min="8962" max="8962" width="19.140625" style="2" customWidth="1"/>
    <col min="8963" max="8963" width="1.5703125" style="2" bestFit="1" customWidth="1"/>
    <col min="8964" max="8964" width="10.42578125" style="2" customWidth="1"/>
    <col min="8965" max="8965" width="8.5703125" style="2" customWidth="1"/>
    <col min="8966" max="8966" width="10.140625" style="2" bestFit="1" customWidth="1"/>
    <col min="8967" max="8967" width="10" style="2" customWidth="1"/>
    <col min="8968" max="8968" width="18.5703125" style="2" customWidth="1"/>
    <col min="8969" max="8969" width="6.7109375" style="2" customWidth="1"/>
    <col min="8970" max="8970" width="13.140625" style="2" customWidth="1"/>
    <col min="8971" max="8971" width="7.85546875" style="2" customWidth="1"/>
    <col min="8972" max="8972" width="14.140625" style="2" customWidth="1"/>
    <col min="8973" max="8973" width="13.28515625" style="2" customWidth="1"/>
    <col min="8974" max="8974" width="18.28515625" style="2" customWidth="1"/>
    <col min="8975" max="8975" width="15.140625" style="2" customWidth="1"/>
    <col min="8976" max="8976" width="9.140625" style="2"/>
    <col min="8977" max="8977" width="13.85546875" style="2" customWidth="1"/>
    <col min="8978" max="8978" width="23" style="2" customWidth="1"/>
    <col min="8979" max="8979" width="9.140625" style="2" customWidth="1"/>
    <col min="8980" max="9216" width="9.140625" style="2"/>
    <col min="9217" max="9217" width="5.140625" style="2" customWidth="1"/>
    <col min="9218" max="9218" width="19.140625" style="2" customWidth="1"/>
    <col min="9219" max="9219" width="1.5703125" style="2" bestFit="1" customWidth="1"/>
    <col min="9220" max="9220" width="10.42578125" style="2" customWidth="1"/>
    <col min="9221" max="9221" width="8.5703125" style="2" customWidth="1"/>
    <col min="9222" max="9222" width="10.140625" style="2" bestFit="1" customWidth="1"/>
    <col min="9223" max="9223" width="10" style="2" customWidth="1"/>
    <col min="9224" max="9224" width="18.5703125" style="2" customWidth="1"/>
    <col min="9225" max="9225" width="6.7109375" style="2" customWidth="1"/>
    <col min="9226" max="9226" width="13.140625" style="2" customWidth="1"/>
    <col min="9227" max="9227" width="7.85546875" style="2" customWidth="1"/>
    <col min="9228" max="9228" width="14.140625" style="2" customWidth="1"/>
    <col min="9229" max="9229" width="13.28515625" style="2" customWidth="1"/>
    <col min="9230" max="9230" width="18.28515625" style="2" customWidth="1"/>
    <col min="9231" max="9231" width="15.140625" style="2" customWidth="1"/>
    <col min="9232" max="9232" width="9.140625" style="2"/>
    <col min="9233" max="9233" width="13.85546875" style="2" customWidth="1"/>
    <col min="9234" max="9234" width="23" style="2" customWidth="1"/>
    <col min="9235" max="9235" width="9.140625" style="2" customWidth="1"/>
    <col min="9236" max="9472" width="9.140625" style="2"/>
    <col min="9473" max="9473" width="5.140625" style="2" customWidth="1"/>
    <col min="9474" max="9474" width="19.140625" style="2" customWidth="1"/>
    <col min="9475" max="9475" width="1.5703125" style="2" bestFit="1" customWidth="1"/>
    <col min="9476" max="9476" width="10.42578125" style="2" customWidth="1"/>
    <col min="9477" max="9477" width="8.5703125" style="2" customWidth="1"/>
    <col min="9478" max="9478" width="10.140625" style="2" bestFit="1" customWidth="1"/>
    <col min="9479" max="9479" width="10" style="2" customWidth="1"/>
    <col min="9480" max="9480" width="18.5703125" style="2" customWidth="1"/>
    <col min="9481" max="9481" width="6.7109375" style="2" customWidth="1"/>
    <col min="9482" max="9482" width="13.140625" style="2" customWidth="1"/>
    <col min="9483" max="9483" width="7.85546875" style="2" customWidth="1"/>
    <col min="9484" max="9484" width="14.140625" style="2" customWidth="1"/>
    <col min="9485" max="9485" width="13.28515625" style="2" customWidth="1"/>
    <col min="9486" max="9486" width="18.28515625" style="2" customWidth="1"/>
    <col min="9487" max="9487" width="15.140625" style="2" customWidth="1"/>
    <col min="9488" max="9488" width="9.140625" style="2"/>
    <col min="9489" max="9489" width="13.85546875" style="2" customWidth="1"/>
    <col min="9490" max="9490" width="23" style="2" customWidth="1"/>
    <col min="9491" max="9491" width="9.140625" style="2" customWidth="1"/>
    <col min="9492" max="9728" width="9.140625" style="2"/>
    <col min="9729" max="9729" width="5.140625" style="2" customWidth="1"/>
    <col min="9730" max="9730" width="19.140625" style="2" customWidth="1"/>
    <col min="9731" max="9731" width="1.5703125" style="2" bestFit="1" customWidth="1"/>
    <col min="9732" max="9732" width="10.42578125" style="2" customWidth="1"/>
    <col min="9733" max="9733" width="8.5703125" style="2" customWidth="1"/>
    <col min="9734" max="9734" width="10.140625" style="2" bestFit="1" customWidth="1"/>
    <col min="9735" max="9735" width="10" style="2" customWidth="1"/>
    <col min="9736" max="9736" width="18.5703125" style="2" customWidth="1"/>
    <col min="9737" max="9737" width="6.7109375" style="2" customWidth="1"/>
    <col min="9738" max="9738" width="13.140625" style="2" customWidth="1"/>
    <col min="9739" max="9739" width="7.85546875" style="2" customWidth="1"/>
    <col min="9740" max="9740" width="14.140625" style="2" customWidth="1"/>
    <col min="9741" max="9741" width="13.28515625" style="2" customWidth="1"/>
    <col min="9742" max="9742" width="18.28515625" style="2" customWidth="1"/>
    <col min="9743" max="9743" width="15.140625" style="2" customWidth="1"/>
    <col min="9744" max="9744" width="9.140625" style="2"/>
    <col min="9745" max="9745" width="13.85546875" style="2" customWidth="1"/>
    <col min="9746" max="9746" width="23" style="2" customWidth="1"/>
    <col min="9747" max="9747" width="9.140625" style="2" customWidth="1"/>
    <col min="9748" max="9984" width="9.140625" style="2"/>
    <col min="9985" max="9985" width="5.140625" style="2" customWidth="1"/>
    <col min="9986" max="9986" width="19.140625" style="2" customWidth="1"/>
    <col min="9987" max="9987" width="1.5703125" style="2" bestFit="1" customWidth="1"/>
    <col min="9988" max="9988" width="10.42578125" style="2" customWidth="1"/>
    <col min="9989" max="9989" width="8.5703125" style="2" customWidth="1"/>
    <col min="9990" max="9990" width="10.140625" style="2" bestFit="1" customWidth="1"/>
    <col min="9991" max="9991" width="10" style="2" customWidth="1"/>
    <col min="9992" max="9992" width="18.5703125" style="2" customWidth="1"/>
    <col min="9993" max="9993" width="6.7109375" style="2" customWidth="1"/>
    <col min="9994" max="9994" width="13.140625" style="2" customWidth="1"/>
    <col min="9995" max="9995" width="7.85546875" style="2" customWidth="1"/>
    <col min="9996" max="9996" width="14.140625" style="2" customWidth="1"/>
    <col min="9997" max="9997" width="13.28515625" style="2" customWidth="1"/>
    <col min="9998" max="9998" width="18.28515625" style="2" customWidth="1"/>
    <col min="9999" max="9999" width="15.140625" style="2" customWidth="1"/>
    <col min="10000" max="10000" width="9.140625" style="2"/>
    <col min="10001" max="10001" width="13.85546875" style="2" customWidth="1"/>
    <col min="10002" max="10002" width="23" style="2" customWidth="1"/>
    <col min="10003" max="10003" width="9.140625" style="2" customWidth="1"/>
    <col min="10004" max="10240" width="9.140625" style="2"/>
    <col min="10241" max="10241" width="5.140625" style="2" customWidth="1"/>
    <col min="10242" max="10242" width="19.140625" style="2" customWidth="1"/>
    <col min="10243" max="10243" width="1.5703125" style="2" bestFit="1" customWidth="1"/>
    <col min="10244" max="10244" width="10.42578125" style="2" customWidth="1"/>
    <col min="10245" max="10245" width="8.5703125" style="2" customWidth="1"/>
    <col min="10246" max="10246" width="10.140625" style="2" bestFit="1" customWidth="1"/>
    <col min="10247" max="10247" width="10" style="2" customWidth="1"/>
    <col min="10248" max="10248" width="18.5703125" style="2" customWidth="1"/>
    <col min="10249" max="10249" width="6.7109375" style="2" customWidth="1"/>
    <col min="10250" max="10250" width="13.140625" style="2" customWidth="1"/>
    <col min="10251" max="10251" width="7.85546875" style="2" customWidth="1"/>
    <col min="10252" max="10252" width="14.140625" style="2" customWidth="1"/>
    <col min="10253" max="10253" width="13.28515625" style="2" customWidth="1"/>
    <col min="10254" max="10254" width="18.28515625" style="2" customWidth="1"/>
    <col min="10255" max="10255" width="15.140625" style="2" customWidth="1"/>
    <col min="10256" max="10256" width="9.140625" style="2"/>
    <col min="10257" max="10257" width="13.85546875" style="2" customWidth="1"/>
    <col min="10258" max="10258" width="23" style="2" customWidth="1"/>
    <col min="10259" max="10259" width="9.140625" style="2" customWidth="1"/>
    <col min="10260" max="10496" width="9.140625" style="2"/>
    <col min="10497" max="10497" width="5.140625" style="2" customWidth="1"/>
    <col min="10498" max="10498" width="19.140625" style="2" customWidth="1"/>
    <col min="10499" max="10499" width="1.5703125" style="2" bestFit="1" customWidth="1"/>
    <col min="10500" max="10500" width="10.42578125" style="2" customWidth="1"/>
    <col min="10501" max="10501" width="8.5703125" style="2" customWidth="1"/>
    <col min="10502" max="10502" width="10.140625" style="2" bestFit="1" customWidth="1"/>
    <col min="10503" max="10503" width="10" style="2" customWidth="1"/>
    <col min="10504" max="10504" width="18.5703125" style="2" customWidth="1"/>
    <col min="10505" max="10505" width="6.7109375" style="2" customWidth="1"/>
    <col min="10506" max="10506" width="13.140625" style="2" customWidth="1"/>
    <col min="10507" max="10507" width="7.85546875" style="2" customWidth="1"/>
    <col min="10508" max="10508" width="14.140625" style="2" customWidth="1"/>
    <col min="10509" max="10509" width="13.28515625" style="2" customWidth="1"/>
    <col min="10510" max="10510" width="18.28515625" style="2" customWidth="1"/>
    <col min="10511" max="10511" width="15.140625" style="2" customWidth="1"/>
    <col min="10512" max="10512" width="9.140625" style="2"/>
    <col min="10513" max="10513" width="13.85546875" style="2" customWidth="1"/>
    <col min="10514" max="10514" width="23" style="2" customWidth="1"/>
    <col min="10515" max="10515" width="9.140625" style="2" customWidth="1"/>
    <col min="10516" max="10752" width="9.140625" style="2"/>
    <col min="10753" max="10753" width="5.140625" style="2" customWidth="1"/>
    <col min="10754" max="10754" width="19.140625" style="2" customWidth="1"/>
    <col min="10755" max="10755" width="1.5703125" style="2" bestFit="1" customWidth="1"/>
    <col min="10756" max="10756" width="10.42578125" style="2" customWidth="1"/>
    <col min="10757" max="10757" width="8.5703125" style="2" customWidth="1"/>
    <col min="10758" max="10758" width="10.140625" style="2" bestFit="1" customWidth="1"/>
    <col min="10759" max="10759" width="10" style="2" customWidth="1"/>
    <col min="10760" max="10760" width="18.5703125" style="2" customWidth="1"/>
    <col min="10761" max="10761" width="6.7109375" style="2" customWidth="1"/>
    <col min="10762" max="10762" width="13.140625" style="2" customWidth="1"/>
    <col min="10763" max="10763" width="7.85546875" style="2" customWidth="1"/>
    <col min="10764" max="10764" width="14.140625" style="2" customWidth="1"/>
    <col min="10765" max="10765" width="13.28515625" style="2" customWidth="1"/>
    <col min="10766" max="10766" width="18.28515625" style="2" customWidth="1"/>
    <col min="10767" max="10767" width="15.140625" style="2" customWidth="1"/>
    <col min="10768" max="10768" width="9.140625" style="2"/>
    <col min="10769" max="10769" width="13.85546875" style="2" customWidth="1"/>
    <col min="10770" max="10770" width="23" style="2" customWidth="1"/>
    <col min="10771" max="10771" width="9.140625" style="2" customWidth="1"/>
    <col min="10772" max="11008" width="9.140625" style="2"/>
    <col min="11009" max="11009" width="5.140625" style="2" customWidth="1"/>
    <col min="11010" max="11010" width="19.140625" style="2" customWidth="1"/>
    <col min="11011" max="11011" width="1.5703125" style="2" bestFit="1" customWidth="1"/>
    <col min="11012" max="11012" width="10.42578125" style="2" customWidth="1"/>
    <col min="11013" max="11013" width="8.5703125" style="2" customWidth="1"/>
    <col min="11014" max="11014" width="10.140625" style="2" bestFit="1" customWidth="1"/>
    <col min="11015" max="11015" width="10" style="2" customWidth="1"/>
    <col min="11016" max="11016" width="18.5703125" style="2" customWidth="1"/>
    <col min="11017" max="11017" width="6.7109375" style="2" customWidth="1"/>
    <col min="11018" max="11018" width="13.140625" style="2" customWidth="1"/>
    <col min="11019" max="11019" width="7.85546875" style="2" customWidth="1"/>
    <col min="11020" max="11020" width="14.140625" style="2" customWidth="1"/>
    <col min="11021" max="11021" width="13.28515625" style="2" customWidth="1"/>
    <col min="11022" max="11022" width="18.28515625" style="2" customWidth="1"/>
    <col min="11023" max="11023" width="15.140625" style="2" customWidth="1"/>
    <col min="11024" max="11024" width="9.140625" style="2"/>
    <col min="11025" max="11025" width="13.85546875" style="2" customWidth="1"/>
    <col min="11026" max="11026" width="23" style="2" customWidth="1"/>
    <col min="11027" max="11027" width="9.140625" style="2" customWidth="1"/>
    <col min="11028" max="11264" width="9.140625" style="2"/>
    <col min="11265" max="11265" width="5.140625" style="2" customWidth="1"/>
    <col min="11266" max="11266" width="19.140625" style="2" customWidth="1"/>
    <col min="11267" max="11267" width="1.5703125" style="2" bestFit="1" customWidth="1"/>
    <col min="11268" max="11268" width="10.42578125" style="2" customWidth="1"/>
    <col min="11269" max="11269" width="8.5703125" style="2" customWidth="1"/>
    <col min="11270" max="11270" width="10.140625" style="2" bestFit="1" customWidth="1"/>
    <col min="11271" max="11271" width="10" style="2" customWidth="1"/>
    <col min="11272" max="11272" width="18.5703125" style="2" customWidth="1"/>
    <col min="11273" max="11273" width="6.7109375" style="2" customWidth="1"/>
    <col min="11274" max="11274" width="13.140625" style="2" customWidth="1"/>
    <col min="11275" max="11275" width="7.85546875" style="2" customWidth="1"/>
    <col min="11276" max="11276" width="14.140625" style="2" customWidth="1"/>
    <col min="11277" max="11277" width="13.28515625" style="2" customWidth="1"/>
    <col min="11278" max="11278" width="18.28515625" style="2" customWidth="1"/>
    <col min="11279" max="11279" width="15.140625" style="2" customWidth="1"/>
    <col min="11280" max="11280" width="9.140625" style="2"/>
    <col min="11281" max="11281" width="13.85546875" style="2" customWidth="1"/>
    <col min="11282" max="11282" width="23" style="2" customWidth="1"/>
    <col min="11283" max="11283" width="9.140625" style="2" customWidth="1"/>
    <col min="11284" max="11520" width="9.140625" style="2"/>
    <col min="11521" max="11521" width="5.140625" style="2" customWidth="1"/>
    <col min="11522" max="11522" width="19.140625" style="2" customWidth="1"/>
    <col min="11523" max="11523" width="1.5703125" style="2" bestFit="1" customWidth="1"/>
    <col min="11524" max="11524" width="10.42578125" style="2" customWidth="1"/>
    <col min="11525" max="11525" width="8.5703125" style="2" customWidth="1"/>
    <col min="11526" max="11526" width="10.140625" style="2" bestFit="1" customWidth="1"/>
    <col min="11527" max="11527" width="10" style="2" customWidth="1"/>
    <col min="11528" max="11528" width="18.5703125" style="2" customWidth="1"/>
    <col min="11529" max="11529" width="6.7109375" style="2" customWidth="1"/>
    <col min="11530" max="11530" width="13.140625" style="2" customWidth="1"/>
    <col min="11531" max="11531" width="7.85546875" style="2" customWidth="1"/>
    <col min="11532" max="11532" width="14.140625" style="2" customWidth="1"/>
    <col min="11533" max="11533" width="13.28515625" style="2" customWidth="1"/>
    <col min="11534" max="11534" width="18.28515625" style="2" customWidth="1"/>
    <col min="11535" max="11535" width="15.140625" style="2" customWidth="1"/>
    <col min="11536" max="11536" width="9.140625" style="2"/>
    <col min="11537" max="11537" width="13.85546875" style="2" customWidth="1"/>
    <col min="11538" max="11538" width="23" style="2" customWidth="1"/>
    <col min="11539" max="11539" width="9.140625" style="2" customWidth="1"/>
    <col min="11540" max="11776" width="9.140625" style="2"/>
    <col min="11777" max="11777" width="5.140625" style="2" customWidth="1"/>
    <col min="11778" max="11778" width="19.140625" style="2" customWidth="1"/>
    <col min="11779" max="11779" width="1.5703125" style="2" bestFit="1" customWidth="1"/>
    <col min="11780" max="11780" width="10.42578125" style="2" customWidth="1"/>
    <col min="11781" max="11781" width="8.5703125" style="2" customWidth="1"/>
    <col min="11782" max="11782" width="10.140625" style="2" bestFit="1" customWidth="1"/>
    <col min="11783" max="11783" width="10" style="2" customWidth="1"/>
    <col min="11784" max="11784" width="18.5703125" style="2" customWidth="1"/>
    <col min="11785" max="11785" width="6.7109375" style="2" customWidth="1"/>
    <col min="11786" max="11786" width="13.140625" style="2" customWidth="1"/>
    <col min="11787" max="11787" width="7.85546875" style="2" customWidth="1"/>
    <col min="11788" max="11788" width="14.140625" style="2" customWidth="1"/>
    <col min="11789" max="11789" width="13.28515625" style="2" customWidth="1"/>
    <col min="11790" max="11790" width="18.28515625" style="2" customWidth="1"/>
    <col min="11791" max="11791" width="15.140625" style="2" customWidth="1"/>
    <col min="11792" max="11792" width="9.140625" style="2"/>
    <col min="11793" max="11793" width="13.85546875" style="2" customWidth="1"/>
    <col min="11794" max="11794" width="23" style="2" customWidth="1"/>
    <col min="11795" max="11795" width="9.140625" style="2" customWidth="1"/>
    <col min="11796" max="12032" width="9.140625" style="2"/>
    <col min="12033" max="12033" width="5.140625" style="2" customWidth="1"/>
    <col min="12034" max="12034" width="19.140625" style="2" customWidth="1"/>
    <col min="12035" max="12035" width="1.5703125" style="2" bestFit="1" customWidth="1"/>
    <col min="12036" max="12036" width="10.42578125" style="2" customWidth="1"/>
    <col min="12037" max="12037" width="8.5703125" style="2" customWidth="1"/>
    <col min="12038" max="12038" width="10.140625" style="2" bestFit="1" customWidth="1"/>
    <col min="12039" max="12039" width="10" style="2" customWidth="1"/>
    <col min="12040" max="12040" width="18.5703125" style="2" customWidth="1"/>
    <col min="12041" max="12041" width="6.7109375" style="2" customWidth="1"/>
    <col min="12042" max="12042" width="13.140625" style="2" customWidth="1"/>
    <col min="12043" max="12043" width="7.85546875" style="2" customWidth="1"/>
    <col min="12044" max="12044" width="14.140625" style="2" customWidth="1"/>
    <col min="12045" max="12045" width="13.28515625" style="2" customWidth="1"/>
    <col min="12046" max="12046" width="18.28515625" style="2" customWidth="1"/>
    <col min="12047" max="12047" width="15.140625" style="2" customWidth="1"/>
    <col min="12048" max="12048" width="9.140625" style="2"/>
    <col min="12049" max="12049" width="13.85546875" style="2" customWidth="1"/>
    <col min="12050" max="12050" width="23" style="2" customWidth="1"/>
    <col min="12051" max="12051" width="9.140625" style="2" customWidth="1"/>
    <col min="12052" max="12288" width="9.140625" style="2"/>
    <col min="12289" max="12289" width="5.140625" style="2" customWidth="1"/>
    <col min="12290" max="12290" width="19.140625" style="2" customWidth="1"/>
    <col min="12291" max="12291" width="1.5703125" style="2" bestFit="1" customWidth="1"/>
    <col min="12292" max="12292" width="10.42578125" style="2" customWidth="1"/>
    <col min="12293" max="12293" width="8.5703125" style="2" customWidth="1"/>
    <col min="12294" max="12294" width="10.140625" style="2" bestFit="1" customWidth="1"/>
    <col min="12295" max="12295" width="10" style="2" customWidth="1"/>
    <col min="12296" max="12296" width="18.5703125" style="2" customWidth="1"/>
    <col min="12297" max="12297" width="6.7109375" style="2" customWidth="1"/>
    <col min="12298" max="12298" width="13.140625" style="2" customWidth="1"/>
    <col min="12299" max="12299" width="7.85546875" style="2" customWidth="1"/>
    <col min="12300" max="12300" width="14.140625" style="2" customWidth="1"/>
    <col min="12301" max="12301" width="13.28515625" style="2" customWidth="1"/>
    <col min="12302" max="12302" width="18.28515625" style="2" customWidth="1"/>
    <col min="12303" max="12303" width="15.140625" style="2" customWidth="1"/>
    <col min="12304" max="12304" width="9.140625" style="2"/>
    <col min="12305" max="12305" width="13.85546875" style="2" customWidth="1"/>
    <col min="12306" max="12306" width="23" style="2" customWidth="1"/>
    <col min="12307" max="12307" width="9.140625" style="2" customWidth="1"/>
    <col min="12308" max="12544" width="9.140625" style="2"/>
    <col min="12545" max="12545" width="5.140625" style="2" customWidth="1"/>
    <col min="12546" max="12546" width="19.140625" style="2" customWidth="1"/>
    <col min="12547" max="12547" width="1.5703125" style="2" bestFit="1" customWidth="1"/>
    <col min="12548" max="12548" width="10.42578125" style="2" customWidth="1"/>
    <col min="12549" max="12549" width="8.5703125" style="2" customWidth="1"/>
    <col min="12550" max="12550" width="10.140625" style="2" bestFit="1" customWidth="1"/>
    <col min="12551" max="12551" width="10" style="2" customWidth="1"/>
    <col min="12552" max="12552" width="18.5703125" style="2" customWidth="1"/>
    <col min="12553" max="12553" width="6.7109375" style="2" customWidth="1"/>
    <col min="12554" max="12554" width="13.140625" style="2" customWidth="1"/>
    <col min="12555" max="12555" width="7.85546875" style="2" customWidth="1"/>
    <col min="12556" max="12556" width="14.140625" style="2" customWidth="1"/>
    <col min="12557" max="12557" width="13.28515625" style="2" customWidth="1"/>
    <col min="12558" max="12558" width="18.28515625" style="2" customWidth="1"/>
    <col min="12559" max="12559" width="15.140625" style="2" customWidth="1"/>
    <col min="12560" max="12560" width="9.140625" style="2"/>
    <col min="12561" max="12561" width="13.85546875" style="2" customWidth="1"/>
    <col min="12562" max="12562" width="23" style="2" customWidth="1"/>
    <col min="12563" max="12563" width="9.140625" style="2" customWidth="1"/>
    <col min="12564" max="12800" width="9.140625" style="2"/>
    <col min="12801" max="12801" width="5.140625" style="2" customWidth="1"/>
    <col min="12802" max="12802" width="19.140625" style="2" customWidth="1"/>
    <col min="12803" max="12803" width="1.5703125" style="2" bestFit="1" customWidth="1"/>
    <col min="12804" max="12804" width="10.42578125" style="2" customWidth="1"/>
    <col min="12805" max="12805" width="8.5703125" style="2" customWidth="1"/>
    <col min="12806" max="12806" width="10.140625" style="2" bestFit="1" customWidth="1"/>
    <col min="12807" max="12807" width="10" style="2" customWidth="1"/>
    <col min="12808" max="12808" width="18.5703125" style="2" customWidth="1"/>
    <col min="12809" max="12809" width="6.7109375" style="2" customWidth="1"/>
    <col min="12810" max="12810" width="13.140625" style="2" customWidth="1"/>
    <col min="12811" max="12811" width="7.85546875" style="2" customWidth="1"/>
    <col min="12812" max="12812" width="14.140625" style="2" customWidth="1"/>
    <col min="12813" max="12813" width="13.28515625" style="2" customWidth="1"/>
    <col min="12814" max="12814" width="18.28515625" style="2" customWidth="1"/>
    <col min="12815" max="12815" width="15.140625" style="2" customWidth="1"/>
    <col min="12816" max="12816" width="9.140625" style="2"/>
    <col min="12817" max="12817" width="13.85546875" style="2" customWidth="1"/>
    <col min="12818" max="12818" width="23" style="2" customWidth="1"/>
    <col min="12819" max="12819" width="9.140625" style="2" customWidth="1"/>
    <col min="12820" max="13056" width="9.140625" style="2"/>
    <col min="13057" max="13057" width="5.140625" style="2" customWidth="1"/>
    <col min="13058" max="13058" width="19.140625" style="2" customWidth="1"/>
    <col min="13059" max="13059" width="1.5703125" style="2" bestFit="1" customWidth="1"/>
    <col min="13060" max="13060" width="10.42578125" style="2" customWidth="1"/>
    <col min="13061" max="13061" width="8.5703125" style="2" customWidth="1"/>
    <col min="13062" max="13062" width="10.140625" style="2" bestFit="1" customWidth="1"/>
    <col min="13063" max="13063" width="10" style="2" customWidth="1"/>
    <col min="13064" max="13064" width="18.5703125" style="2" customWidth="1"/>
    <col min="13065" max="13065" width="6.7109375" style="2" customWidth="1"/>
    <col min="13066" max="13066" width="13.140625" style="2" customWidth="1"/>
    <col min="13067" max="13067" width="7.85546875" style="2" customWidth="1"/>
    <col min="13068" max="13068" width="14.140625" style="2" customWidth="1"/>
    <col min="13069" max="13069" width="13.28515625" style="2" customWidth="1"/>
    <col min="13070" max="13070" width="18.28515625" style="2" customWidth="1"/>
    <col min="13071" max="13071" width="15.140625" style="2" customWidth="1"/>
    <col min="13072" max="13072" width="9.140625" style="2"/>
    <col min="13073" max="13073" width="13.85546875" style="2" customWidth="1"/>
    <col min="13074" max="13074" width="23" style="2" customWidth="1"/>
    <col min="13075" max="13075" width="9.140625" style="2" customWidth="1"/>
    <col min="13076" max="13312" width="9.140625" style="2"/>
    <col min="13313" max="13313" width="5.140625" style="2" customWidth="1"/>
    <col min="13314" max="13314" width="19.140625" style="2" customWidth="1"/>
    <col min="13315" max="13315" width="1.5703125" style="2" bestFit="1" customWidth="1"/>
    <col min="13316" max="13316" width="10.42578125" style="2" customWidth="1"/>
    <col min="13317" max="13317" width="8.5703125" style="2" customWidth="1"/>
    <col min="13318" max="13318" width="10.140625" style="2" bestFit="1" customWidth="1"/>
    <col min="13319" max="13319" width="10" style="2" customWidth="1"/>
    <col min="13320" max="13320" width="18.5703125" style="2" customWidth="1"/>
    <col min="13321" max="13321" width="6.7109375" style="2" customWidth="1"/>
    <col min="13322" max="13322" width="13.140625" style="2" customWidth="1"/>
    <col min="13323" max="13323" width="7.85546875" style="2" customWidth="1"/>
    <col min="13324" max="13324" width="14.140625" style="2" customWidth="1"/>
    <col min="13325" max="13325" width="13.28515625" style="2" customWidth="1"/>
    <col min="13326" max="13326" width="18.28515625" style="2" customWidth="1"/>
    <col min="13327" max="13327" width="15.140625" style="2" customWidth="1"/>
    <col min="13328" max="13328" width="9.140625" style="2"/>
    <col min="13329" max="13329" width="13.85546875" style="2" customWidth="1"/>
    <col min="13330" max="13330" width="23" style="2" customWidth="1"/>
    <col min="13331" max="13331" width="9.140625" style="2" customWidth="1"/>
    <col min="13332" max="13568" width="9.140625" style="2"/>
    <col min="13569" max="13569" width="5.140625" style="2" customWidth="1"/>
    <col min="13570" max="13570" width="19.140625" style="2" customWidth="1"/>
    <col min="13571" max="13571" width="1.5703125" style="2" bestFit="1" customWidth="1"/>
    <col min="13572" max="13572" width="10.42578125" style="2" customWidth="1"/>
    <col min="13573" max="13573" width="8.5703125" style="2" customWidth="1"/>
    <col min="13574" max="13574" width="10.140625" style="2" bestFit="1" customWidth="1"/>
    <col min="13575" max="13575" width="10" style="2" customWidth="1"/>
    <col min="13576" max="13576" width="18.5703125" style="2" customWidth="1"/>
    <col min="13577" max="13577" width="6.7109375" style="2" customWidth="1"/>
    <col min="13578" max="13578" width="13.140625" style="2" customWidth="1"/>
    <col min="13579" max="13579" width="7.85546875" style="2" customWidth="1"/>
    <col min="13580" max="13580" width="14.140625" style="2" customWidth="1"/>
    <col min="13581" max="13581" width="13.28515625" style="2" customWidth="1"/>
    <col min="13582" max="13582" width="18.28515625" style="2" customWidth="1"/>
    <col min="13583" max="13583" width="15.140625" style="2" customWidth="1"/>
    <col min="13584" max="13584" width="9.140625" style="2"/>
    <col min="13585" max="13585" width="13.85546875" style="2" customWidth="1"/>
    <col min="13586" max="13586" width="23" style="2" customWidth="1"/>
    <col min="13587" max="13587" width="9.140625" style="2" customWidth="1"/>
    <col min="13588" max="13824" width="9.140625" style="2"/>
    <col min="13825" max="13825" width="5.140625" style="2" customWidth="1"/>
    <col min="13826" max="13826" width="19.140625" style="2" customWidth="1"/>
    <col min="13827" max="13827" width="1.5703125" style="2" bestFit="1" customWidth="1"/>
    <col min="13828" max="13828" width="10.42578125" style="2" customWidth="1"/>
    <col min="13829" max="13829" width="8.5703125" style="2" customWidth="1"/>
    <col min="13830" max="13830" width="10.140625" style="2" bestFit="1" customWidth="1"/>
    <col min="13831" max="13831" width="10" style="2" customWidth="1"/>
    <col min="13832" max="13832" width="18.5703125" style="2" customWidth="1"/>
    <col min="13833" max="13833" width="6.7109375" style="2" customWidth="1"/>
    <col min="13834" max="13834" width="13.140625" style="2" customWidth="1"/>
    <col min="13835" max="13835" width="7.85546875" style="2" customWidth="1"/>
    <col min="13836" max="13836" width="14.140625" style="2" customWidth="1"/>
    <col min="13837" max="13837" width="13.28515625" style="2" customWidth="1"/>
    <col min="13838" max="13838" width="18.28515625" style="2" customWidth="1"/>
    <col min="13839" max="13839" width="15.140625" style="2" customWidth="1"/>
    <col min="13840" max="13840" width="9.140625" style="2"/>
    <col min="13841" max="13841" width="13.85546875" style="2" customWidth="1"/>
    <col min="13842" max="13842" width="23" style="2" customWidth="1"/>
    <col min="13843" max="13843" width="9.140625" style="2" customWidth="1"/>
    <col min="13844" max="14080" width="9.140625" style="2"/>
    <col min="14081" max="14081" width="5.140625" style="2" customWidth="1"/>
    <col min="14082" max="14082" width="19.140625" style="2" customWidth="1"/>
    <col min="14083" max="14083" width="1.5703125" style="2" bestFit="1" customWidth="1"/>
    <col min="14084" max="14084" width="10.42578125" style="2" customWidth="1"/>
    <col min="14085" max="14085" width="8.5703125" style="2" customWidth="1"/>
    <col min="14086" max="14086" width="10.140625" style="2" bestFit="1" customWidth="1"/>
    <col min="14087" max="14087" width="10" style="2" customWidth="1"/>
    <col min="14088" max="14088" width="18.5703125" style="2" customWidth="1"/>
    <col min="14089" max="14089" width="6.7109375" style="2" customWidth="1"/>
    <col min="14090" max="14090" width="13.140625" style="2" customWidth="1"/>
    <col min="14091" max="14091" width="7.85546875" style="2" customWidth="1"/>
    <col min="14092" max="14092" width="14.140625" style="2" customWidth="1"/>
    <col min="14093" max="14093" width="13.28515625" style="2" customWidth="1"/>
    <col min="14094" max="14094" width="18.28515625" style="2" customWidth="1"/>
    <col min="14095" max="14095" width="15.140625" style="2" customWidth="1"/>
    <col min="14096" max="14096" width="9.140625" style="2"/>
    <col min="14097" max="14097" width="13.85546875" style="2" customWidth="1"/>
    <col min="14098" max="14098" width="23" style="2" customWidth="1"/>
    <col min="14099" max="14099" width="9.140625" style="2" customWidth="1"/>
    <col min="14100" max="14336" width="9.140625" style="2"/>
    <col min="14337" max="14337" width="5.140625" style="2" customWidth="1"/>
    <col min="14338" max="14338" width="19.140625" style="2" customWidth="1"/>
    <col min="14339" max="14339" width="1.5703125" style="2" bestFit="1" customWidth="1"/>
    <col min="14340" max="14340" width="10.42578125" style="2" customWidth="1"/>
    <col min="14341" max="14341" width="8.5703125" style="2" customWidth="1"/>
    <col min="14342" max="14342" width="10.140625" style="2" bestFit="1" customWidth="1"/>
    <col min="14343" max="14343" width="10" style="2" customWidth="1"/>
    <col min="14344" max="14344" width="18.5703125" style="2" customWidth="1"/>
    <col min="14345" max="14345" width="6.7109375" style="2" customWidth="1"/>
    <col min="14346" max="14346" width="13.140625" style="2" customWidth="1"/>
    <col min="14347" max="14347" width="7.85546875" style="2" customWidth="1"/>
    <col min="14348" max="14348" width="14.140625" style="2" customWidth="1"/>
    <col min="14349" max="14349" width="13.28515625" style="2" customWidth="1"/>
    <col min="14350" max="14350" width="18.28515625" style="2" customWidth="1"/>
    <col min="14351" max="14351" width="15.140625" style="2" customWidth="1"/>
    <col min="14352" max="14352" width="9.140625" style="2"/>
    <col min="14353" max="14353" width="13.85546875" style="2" customWidth="1"/>
    <col min="14354" max="14354" width="23" style="2" customWidth="1"/>
    <col min="14355" max="14355" width="9.140625" style="2" customWidth="1"/>
    <col min="14356" max="14592" width="9.140625" style="2"/>
    <col min="14593" max="14593" width="5.140625" style="2" customWidth="1"/>
    <col min="14594" max="14594" width="19.140625" style="2" customWidth="1"/>
    <col min="14595" max="14595" width="1.5703125" style="2" bestFit="1" customWidth="1"/>
    <col min="14596" max="14596" width="10.42578125" style="2" customWidth="1"/>
    <col min="14597" max="14597" width="8.5703125" style="2" customWidth="1"/>
    <col min="14598" max="14598" width="10.140625" style="2" bestFit="1" customWidth="1"/>
    <col min="14599" max="14599" width="10" style="2" customWidth="1"/>
    <col min="14600" max="14600" width="18.5703125" style="2" customWidth="1"/>
    <col min="14601" max="14601" width="6.7109375" style="2" customWidth="1"/>
    <col min="14602" max="14602" width="13.140625" style="2" customWidth="1"/>
    <col min="14603" max="14603" width="7.85546875" style="2" customWidth="1"/>
    <col min="14604" max="14604" width="14.140625" style="2" customWidth="1"/>
    <col min="14605" max="14605" width="13.28515625" style="2" customWidth="1"/>
    <col min="14606" max="14606" width="18.28515625" style="2" customWidth="1"/>
    <col min="14607" max="14607" width="15.140625" style="2" customWidth="1"/>
    <col min="14608" max="14608" width="9.140625" style="2"/>
    <col min="14609" max="14609" width="13.85546875" style="2" customWidth="1"/>
    <col min="14610" max="14610" width="23" style="2" customWidth="1"/>
    <col min="14611" max="14611" width="9.140625" style="2" customWidth="1"/>
    <col min="14612" max="14848" width="9.140625" style="2"/>
    <col min="14849" max="14849" width="5.140625" style="2" customWidth="1"/>
    <col min="14850" max="14850" width="19.140625" style="2" customWidth="1"/>
    <col min="14851" max="14851" width="1.5703125" style="2" bestFit="1" customWidth="1"/>
    <col min="14852" max="14852" width="10.42578125" style="2" customWidth="1"/>
    <col min="14853" max="14853" width="8.5703125" style="2" customWidth="1"/>
    <col min="14854" max="14854" width="10.140625" style="2" bestFit="1" customWidth="1"/>
    <col min="14855" max="14855" width="10" style="2" customWidth="1"/>
    <col min="14856" max="14856" width="18.5703125" style="2" customWidth="1"/>
    <col min="14857" max="14857" width="6.7109375" style="2" customWidth="1"/>
    <col min="14858" max="14858" width="13.140625" style="2" customWidth="1"/>
    <col min="14859" max="14859" width="7.85546875" style="2" customWidth="1"/>
    <col min="14860" max="14860" width="14.140625" style="2" customWidth="1"/>
    <col min="14861" max="14861" width="13.28515625" style="2" customWidth="1"/>
    <col min="14862" max="14862" width="18.28515625" style="2" customWidth="1"/>
    <col min="14863" max="14863" width="15.140625" style="2" customWidth="1"/>
    <col min="14864" max="14864" width="9.140625" style="2"/>
    <col min="14865" max="14865" width="13.85546875" style="2" customWidth="1"/>
    <col min="14866" max="14866" width="23" style="2" customWidth="1"/>
    <col min="14867" max="14867" width="9.140625" style="2" customWidth="1"/>
    <col min="14868" max="15104" width="9.140625" style="2"/>
    <col min="15105" max="15105" width="5.140625" style="2" customWidth="1"/>
    <col min="15106" max="15106" width="19.140625" style="2" customWidth="1"/>
    <col min="15107" max="15107" width="1.5703125" style="2" bestFit="1" customWidth="1"/>
    <col min="15108" max="15108" width="10.42578125" style="2" customWidth="1"/>
    <col min="15109" max="15109" width="8.5703125" style="2" customWidth="1"/>
    <col min="15110" max="15110" width="10.140625" style="2" bestFit="1" customWidth="1"/>
    <col min="15111" max="15111" width="10" style="2" customWidth="1"/>
    <col min="15112" max="15112" width="18.5703125" style="2" customWidth="1"/>
    <col min="15113" max="15113" width="6.7109375" style="2" customWidth="1"/>
    <col min="15114" max="15114" width="13.140625" style="2" customWidth="1"/>
    <col min="15115" max="15115" width="7.85546875" style="2" customWidth="1"/>
    <col min="15116" max="15116" width="14.140625" style="2" customWidth="1"/>
    <col min="15117" max="15117" width="13.28515625" style="2" customWidth="1"/>
    <col min="15118" max="15118" width="18.28515625" style="2" customWidth="1"/>
    <col min="15119" max="15119" width="15.140625" style="2" customWidth="1"/>
    <col min="15120" max="15120" width="9.140625" style="2"/>
    <col min="15121" max="15121" width="13.85546875" style="2" customWidth="1"/>
    <col min="15122" max="15122" width="23" style="2" customWidth="1"/>
    <col min="15123" max="15123" width="9.140625" style="2" customWidth="1"/>
    <col min="15124" max="15360" width="9.140625" style="2"/>
    <col min="15361" max="15361" width="5.140625" style="2" customWidth="1"/>
    <col min="15362" max="15362" width="19.140625" style="2" customWidth="1"/>
    <col min="15363" max="15363" width="1.5703125" style="2" bestFit="1" customWidth="1"/>
    <col min="15364" max="15364" width="10.42578125" style="2" customWidth="1"/>
    <col min="15365" max="15365" width="8.5703125" style="2" customWidth="1"/>
    <col min="15366" max="15366" width="10.140625" style="2" bestFit="1" customWidth="1"/>
    <col min="15367" max="15367" width="10" style="2" customWidth="1"/>
    <col min="15368" max="15368" width="18.5703125" style="2" customWidth="1"/>
    <col min="15369" max="15369" width="6.7109375" style="2" customWidth="1"/>
    <col min="15370" max="15370" width="13.140625" style="2" customWidth="1"/>
    <col min="15371" max="15371" width="7.85546875" style="2" customWidth="1"/>
    <col min="15372" max="15372" width="14.140625" style="2" customWidth="1"/>
    <col min="15373" max="15373" width="13.28515625" style="2" customWidth="1"/>
    <col min="15374" max="15374" width="18.28515625" style="2" customWidth="1"/>
    <col min="15375" max="15375" width="15.140625" style="2" customWidth="1"/>
    <col min="15376" max="15376" width="9.140625" style="2"/>
    <col min="15377" max="15377" width="13.85546875" style="2" customWidth="1"/>
    <col min="15378" max="15378" width="23" style="2" customWidth="1"/>
    <col min="15379" max="15379" width="9.140625" style="2" customWidth="1"/>
    <col min="15380" max="15616" width="9.140625" style="2"/>
    <col min="15617" max="15617" width="5.140625" style="2" customWidth="1"/>
    <col min="15618" max="15618" width="19.140625" style="2" customWidth="1"/>
    <col min="15619" max="15619" width="1.5703125" style="2" bestFit="1" customWidth="1"/>
    <col min="15620" max="15620" width="10.42578125" style="2" customWidth="1"/>
    <col min="15621" max="15621" width="8.5703125" style="2" customWidth="1"/>
    <col min="15622" max="15622" width="10.140625" style="2" bestFit="1" customWidth="1"/>
    <col min="15623" max="15623" width="10" style="2" customWidth="1"/>
    <col min="15624" max="15624" width="18.5703125" style="2" customWidth="1"/>
    <col min="15625" max="15625" width="6.7109375" style="2" customWidth="1"/>
    <col min="15626" max="15626" width="13.140625" style="2" customWidth="1"/>
    <col min="15627" max="15627" width="7.85546875" style="2" customWidth="1"/>
    <col min="15628" max="15628" width="14.140625" style="2" customWidth="1"/>
    <col min="15629" max="15629" width="13.28515625" style="2" customWidth="1"/>
    <col min="15630" max="15630" width="18.28515625" style="2" customWidth="1"/>
    <col min="15631" max="15631" width="15.140625" style="2" customWidth="1"/>
    <col min="15632" max="15632" width="9.140625" style="2"/>
    <col min="15633" max="15633" width="13.85546875" style="2" customWidth="1"/>
    <col min="15634" max="15634" width="23" style="2" customWidth="1"/>
    <col min="15635" max="15635" width="9.140625" style="2" customWidth="1"/>
    <col min="15636" max="15872" width="9.140625" style="2"/>
    <col min="15873" max="15873" width="5.140625" style="2" customWidth="1"/>
    <col min="15874" max="15874" width="19.140625" style="2" customWidth="1"/>
    <col min="15875" max="15875" width="1.5703125" style="2" bestFit="1" customWidth="1"/>
    <col min="15876" max="15876" width="10.42578125" style="2" customWidth="1"/>
    <col min="15877" max="15877" width="8.5703125" style="2" customWidth="1"/>
    <col min="15878" max="15878" width="10.140625" style="2" bestFit="1" customWidth="1"/>
    <col min="15879" max="15879" width="10" style="2" customWidth="1"/>
    <col min="15880" max="15880" width="18.5703125" style="2" customWidth="1"/>
    <col min="15881" max="15881" width="6.7109375" style="2" customWidth="1"/>
    <col min="15882" max="15882" width="13.140625" style="2" customWidth="1"/>
    <col min="15883" max="15883" width="7.85546875" style="2" customWidth="1"/>
    <col min="15884" max="15884" width="14.140625" style="2" customWidth="1"/>
    <col min="15885" max="15885" width="13.28515625" style="2" customWidth="1"/>
    <col min="15886" max="15886" width="18.28515625" style="2" customWidth="1"/>
    <col min="15887" max="15887" width="15.140625" style="2" customWidth="1"/>
    <col min="15888" max="15888" width="9.140625" style="2"/>
    <col min="15889" max="15889" width="13.85546875" style="2" customWidth="1"/>
    <col min="15890" max="15890" width="23" style="2" customWidth="1"/>
    <col min="15891" max="15891" width="9.140625" style="2" customWidth="1"/>
    <col min="15892" max="16128" width="9.140625" style="2"/>
    <col min="16129" max="16129" width="5.140625" style="2" customWidth="1"/>
    <col min="16130" max="16130" width="19.140625" style="2" customWidth="1"/>
    <col min="16131" max="16131" width="1.5703125" style="2" bestFit="1" customWidth="1"/>
    <col min="16132" max="16132" width="10.42578125" style="2" customWidth="1"/>
    <col min="16133" max="16133" width="8.5703125" style="2" customWidth="1"/>
    <col min="16134" max="16134" width="10.140625" style="2" bestFit="1" customWidth="1"/>
    <col min="16135" max="16135" width="10" style="2" customWidth="1"/>
    <col min="16136" max="16136" width="18.5703125" style="2" customWidth="1"/>
    <col min="16137" max="16137" width="6.7109375" style="2" customWidth="1"/>
    <col min="16138" max="16138" width="13.140625" style="2" customWidth="1"/>
    <col min="16139" max="16139" width="7.85546875" style="2" customWidth="1"/>
    <col min="16140" max="16140" width="14.140625" style="2" customWidth="1"/>
    <col min="16141" max="16141" width="13.28515625" style="2" customWidth="1"/>
    <col min="16142" max="16142" width="18.28515625" style="2" customWidth="1"/>
    <col min="16143" max="16143" width="15.140625" style="2" customWidth="1"/>
    <col min="16144" max="16144" width="9.140625" style="2"/>
    <col min="16145" max="16145" width="13.85546875" style="2" customWidth="1"/>
    <col min="16146" max="16146" width="23" style="2" customWidth="1"/>
    <col min="16147" max="16147" width="9.140625" style="2" customWidth="1"/>
    <col min="16148" max="16384" width="9.140625" style="2"/>
  </cols>
  <sheetData>
    <row r="2" spans="1:16" ht="21.75" customHeight="1" x14ac:dyDescent="0.25">
      <c r="A2" s="565" t="s">
        <v>104</v>
      </c>
      <c r="B2" s="565"/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565"/>
    </row>
    <row r="3" spans="1:16" ht="15.75" x14ac:dyDescent="0.25">
      <c r="A3" s="566" t="s">
        <v>198</v>
      </c>
      <c r="B3" s="566"/>
      <c r="C3" s="566"/>
      <c r="D3" s="566"/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</row>
    <row r="4" spans="1:16" x14ac:dyDescent="0.25">
      <c r="A4" s="3"/>
      <c r="B4" s="460" t="s">
        <v>105</v>
      </c>
      <c r="C4" s="460" t="s">
        <v>106</v>
      </c>
      <c r="D4" s="460" t="s">
        <v>669</v>
      </c>
      <c r="E4" s="3"/>
      <c r="F4" s="4"/>
      <c r="G4" s="4"/>
      <c r="H4" s="3"/>
      <c r="I4" s="3"/>
      <c r="J4" s="3"/>
      <c r="K4" s="4"/>
      <c r="L4" s="4"/>
      <c r="M4" s="3"/>
      <c r="N4" s="3"/>
      <c r="O4" s="3"/>
    </row>
    <row r="5" spans="1:16" x14ac:dyDescent="0.25">
      <c r="A5" s="3"/>
      <c r="B5" s="460" t="s">
        <v>107</v>
      </c>
      <c r="C5" s="460" t="s">
        <v>106</v>
      </c>
      <c r="D5" s="460" t="s">
        <v>397</v>
      </c>
      <c r="E5" s="3"/>
      <c r="F5" s="4"/>
      <c r="G5" s="4"/>
      <c r="H5" s="3"/>
      <c r="I5" s="3"/>
      <c r="J5" s="3"/>
      <c r="K5" s="4"/>
      <c r="L5" s="4"/>
      <c r="M5" s="3"/>
      <c r="N5" s="3"/>
      <c r="O5" s="3"/>
    </row>
    <row r="6" spans="1:16" x14ac:dyDescent="0.25">
      <c r="A6" s="3"/>
      <c r="B6" s="460" t="s">
        <v>108</v>
      </c>
      <c r="C6" s="460" t="s">
        <v>106</v>
      </c>
      <c r="D6" s="460" t="s">
        <v>398</v>
      </c>
      <c r="E6" s="3"/>
      <c r="F6" s="4"/>
      <c r="G6" s="4"/>
      <c r="H6" s="3"/>
      <c r="I6" s="3"/>
      <c r="J6" s="3"/>
      <c r="K6" s="4"/>
      <c r="L6" s="4"/>
      <c r="M6" s="3"/>
      <c r="N6" s="3"/>
      <c r="O6" s="3"/>
    </row>
    <row r="7" spans="1:16" x14ac:dyDescent="0.25">
      <c r="A7" s="3"/>
      <c r="B7" s="460" t="s">
        <v>109</v>
      </c>
      <c r="C7" s="460" t="s">
        <v>106</v>
      </c>
      <c r="D7" s="460" t="s">
        <v>398</v>
      </c>
      <c r="E7" s="3"/>
      <c r="F7" s="4"/>
      <c r="G7" s="4"/>
      <c r="H7" s="3"/>
      <c r="I7" s="3"/>
      <c r="J7" s="3"/>
      <c r="K7" s="4"/>
      <c r="L7" s="4"/>
      <c r="M7" s="3"/>
      <c r="N7" s="3"/>
      <c r="O7" s="3"/>
    </row>
    <row r="8" spans="1:16" x14ac:dyDescent="0.25">
      <c r="A8" s="3"/>
      <c r="B8" s="3"/>
      <c r="C8" s="3"/>
      <c r="D8" s="3"/>
      <c r="E8" s="3"/>
      <c r="F8" s="4"/>
      <c r="G8" s="4"/>
      <c r="H8" s="3"/>
      <c r="I8" s="3"/>
      <c r="J8" s="3"/>
      <c r="K8" s="4"/>
      <c r="L8" s="4"/>
      <c r="M8" s="3"/>
      <c r="N8" s="3"/>
      <c r="O8" s="3"/>
    </row>
    <row r="9" spans="1:16" x14ac:dyDescent="0.25">
      <c r="A9" s="570" t="s">
        <v>110</v>
      </c>
      <c r="B9" s="570" t="s">
        <v>111</v>
      </c>
      <c r="C9" s="570" t="s">
        <v>112</v>
      </c>
      <c r="D9" s="570"/>
      <c r="E9" s="570"/>
      <c r="F9" s="570" t="s">
        <v>113</v>
      </c>
      <c r="G9" s="571" t="s">
        <v>114</v>
      </c>
      <c r="H9" s="571" t="s">
        <v>115</v>
      </c>
      <c r="I9" s="570" t="s">
        <v>116</v>
      </c>
      <c r="J9" s="570"/>
      <c r="K9" s="570"/>
      <c r="L9" s="570" t="s">
        <v>117</v>
      </c>
      <c r="M9" s="571" t="s">
        <v>118</v>
      </c>
      <c r="N9" s="571" t="s">
        <v>119</v>
      </c>
      <c r="O9" s="570" t="s">
        <v>120</v>
      </c>
      <c r="P9" s="567" t="s">
        <v>269</v>
      </c>
    </row>
    <row r="10" spans="1:16" x14ac:dyDescent="0.25">
      <c r="A10" s="570"/>
      <c r="B10" s="570"/>
      <c r="C10" s="570" t="s">
        <v>121</v>
      </c>
      <c r="D10" s="570"/>
      <c r="E10" s="570" t="s">
        <v>122</v>
      </c>
      <c r="F10" s="570"/>
      <c r="G10" s="571"/>
      <c r="H10" s="571"/>
      <c r="I10" s="570" t="s">
        <v>123</v>
      </c>
      <c r="J10" s="570" t="s">
        <v>124</v>
      </c>
      <c r="K10" s="570"/>
      <c r="L10" s="570"/>
      <c r="M10" s="570"/>
      <c r="N10" s="571"/>
      <c r="O10" s="570"/>
      <c r="P10" s="568"/>
    </row>
    <row r="11" spans="1:16" x14ac:dyDescent="0.25">
      <c r="A11" s="570"/>
      <c r="B11" s="570"/>
      <c r="C11" s="570"/>
      <c r="D11" s="570"/>
      <c r="E11" s="570"/>
      <c r="F11" s="570"/>
      <c r="G11" s="571"/>
      <c r="H11" s="571"/>
      <c r="I11" s="570"/>
      <c r="J11" s="5" t="s">
        <v>125</v>
      </c>
      <c r="K11" s="6" t="s">
        <v>126</v>
      </c>
      <c r="L11" s="570"/>
      <c r="M11" s="570"/>
      <c r="N11" s="571"/>
      <c r="O11" s="570"/>
      <c r="P11" s="569"/>
    </row>
    <row r="12" spans="1:16" x14ac:dyDescent="0.25">
      <c r="A12" s="7">
        <v>1</v>
      </c>
      <c r="B12" s="7">
        <v>2</v>
      </c>
      <c r="C12" s="572">
        <v>3</v>
      </c>
      <c r="D12" s="573"/>
      <c r="E12" s="7">
        <v>4</v>
      </c>
      <c r="F12" s="7">
        <v>5</v>
      </c>
      <c r="G12" s="7">
        <v>6</v>
      </c>
      <c r="H12" s="7">
        <v>7</v>
      </c>
      <c r="I12" s="7">
        <v>8</v>
      </c>
      <c r="J12" s="7">
        <v>9</v>
      </c>
      <c r="K12" s="7">
        <v>10</v>
      </c>
      <c r="L12" s="7">
        <v>11</v>
      </c>
      <c r="M12" s="7">
        <v>12</v>
      </c>
      <c r="N12" s="7">
        <v>13</v>
      </c>
      <c r="O12" s="7">
        <v>14</v>
      </c>
      <c r="P12" s="60"/>
    </row>
    <row r="13" spans="1:16" ht="23.25" customHeight="1" x14ac:dyDescent="0.25">
      <c r="A13" s="8">
        <v>1</v>
      </c>
      <c r="B13" s="9" t="s">
        <v>127</v>
      </c>
      <c r="C13" s="10"/>
      <c r="D13" s="11"/>
      <c r="E13" s="11"/>
      <c r="F13" s="12">
        <v>11030</v>
      </c>
      <c r="G13" s="8">
        <v>1960</v>
      </c>
      <c r="H13" s="8" t="s">
        <v>368</v>
      </c>
      <c r="I13" s="8" t="s">
        <v>128</v>
      </c>
      <c r="J13" s="12" t="s">
        <v>370</v>
      </c>
      <c r="K13" s="12" t="s">
        <v>135</v>
      </c>
      <c r="L13" s="8" t="s">
        <v>129</v>
      </c>
      <c r="M13" s="14" t="s">
        <v>521</v>
      </c>
      <c r="N13" s="274">
        <f>F13*103000</f>
        <v>1136090000</v>
      </c>
      <c r="O13" s="14" t="s">
        <v>517</v>
      </c>
      <c r="P13" s="60" t="s">
        <v>54</v>
      </c>
    </row>
    <row r="14" spans="1:16" ht="23.25" customHeight="1" x14ac:dyDescent="0.25">
      <c r="A14" s="8">
        <f>A13+1</f>
        <v>2</v>
      </c>
      <c r="B14" s="9" t="s">
        <v>127</v>
      </c>
      <c r="C14" s="10"/>
      <c r="D14" s="11"/>
      <c r="E14" s="11"/>
      <c r="F14" s="12">
        <v>5290</v>
      </c>
      <c r="G14" s="8">
        <v>1960</v>
      </c>
      <c r="H14" s="8" t="s">
        <v>535</v>
      </c>
      <c r="I14" s="8" t="s">
        <v>128</v>
      </c>
      <c r="J14" s="12" t="s">
        <v>370</v>
      </c>
      <c r="K14" s="12" t="s">
        <v>131</v>
      </c>
      <c r="L14" s="8" t="s">
        <v>129</v>
      </c>
      <c r="M14" s="14" t="s">
        <v>540</v>
      </c>
      <c r="N14" s="274">
        <f>F14*48000</f>
        <v>253920000</v>
      </c>
      <c r="O14" s="14" t="s">
        <v>534</v>
      </c>
      <c r="P14" s="60" t="s">
        <v>54</v>
      </c>
    </row>
    <row r="15" spans="1:16" ht="23.25" customHeight="1" x14ac:dyDescent="0.25">
      <c r="A15" s="8">
        <f t="shared" ref="A15:A74" si="0">A14+1</f>
        <v>3</v>
      </c>
      <c r="B15" s="9" t="s">
        <v>127</v>
      </c>
      <c r="C15" s="10"/>
      <c r="D15" s="11"/>
      <c r="E15" s="11"/>
      <c r="F15" s="12">
        <v>5515</v>
      </c>
      <c r="G15" s="8">
        <v>1960</v>
      </c>
      <c r="H15" s="8" t="s">
        <v>535</v>
      </c>
      <c r="I15" s="8" t="s">
        <v>128</v>
      </c>
      <c r="J15" s="12"/>
      <c r="K15" s="12"/>
      <c r="L15" s="8" t="s">
        <v>553</v>
      </c>
      <c r="M15" s="14" t="s">
        <v>571</v>
      </c>
      <c r="N15" s="274">
        <f>F15*102000</f>
        <v>562530000</v>
      </c>
      <c r="O15" s="8" t="s">
        <v>554</v>
      </c>
      <c r="P15" s="60" t="s">
        <v>268</v>
      </c>
    </row>
    <row r="16" spans="1:16" ht="23.25" customHeight="1" x14ac:dyDescent="0.25">
      <c r="A16" s="8">
        <f t="shared" si="0"/>
        <v>4</v>
      </c>
      <c r="B16" s="9" t="s">
        <v>127</v>
      </c>
      <c r="C16" s="10"/>
      <c r="D16" s="11"/>
      <c r="E16" s="11"/>
      <c r="F16" s="12">
        <v>8880</v>
      </c>
      <c r="G16" s="8">
        <v>1960</v>
      </c>
      <c r="H16" s="8" t="s">
        <v>369</v>
      </c>
      <c r="I16" s="8" t="s">
        <v>128</v>
      </c>
      <c r="J16" s="12" t="s">
        <v>371</v>
      </c>
      <c r="K16" s="12" t="s">
        <v>150</v>
      </c>
      <c r="L16" s="8" t="s">
        <v>129</v>
      </c>
      <c r="M16" s="8" t="s">
        <v>513</v>
      </c>
      <c r="N16" s="274">
        <f>F16*103000</f>
        <v>914640000</v>
      </c>
      <c r="O16" s="8" t="s">
        <v>520</v>
      </c>
      <c r="P16" s="60" t="s">
        <v>54</v>
      </c>
    </row>
    <row r="17" spans="1:16" ht="23.25" customHeight="1" x14ac:dyDescent="0.25">
      <c r="A17" s="8">
        <f t="shared" si="0"/>
        <v>5</v>
      </c>
      <c r="B17" s="9" t="s">
        <v>127</v>
      </c>
      <c r="C17" s="10"/>
      <c r="D17" s="11"/>
      <c r="E17" s="11"/>
      <c r="F17" s="12">
        <v>155</v>
      </c>
      <c r="G17" s="8">
        <v>1960</v>
      </c>
      <c r="H17" s="8" t="s">
        <v>510</v>
      </c>
      <c r="I17" s="8" t="s">
        <v>128</v>
      </c>
      <c r="J17" s="12" t="s">
        <v>372</v>
      </c>
      <c r="K17" s="12" t="s">
        <v>149</v>
      </c>
      <c r="L17" s="8" t="s">
        <v>129</v>
      </c>
      <c r="M17" s="8" t="s">
        <v>513</v>
      </c>
      <c r="N17" s="274">
        <f t="shared" ref="N17:N69" si="1">F17*103000</f>
        <v>15965000</v>
      </c>
      <c r="O17" s="8" t="s">
        <v>151</v>
      </c>
      <c r="P17" s="60" t="s">
        <v>54</v>
      </c>
    </row>
    <row r="18" spans="1:16" ht="23.25" customHeight="1" x14ac:dyDescent="0.25">
      <c r="A18" s="8">
        <f t="shared" si="0"/>
        <v>6</v>
      </c>
      <c r="B18" s="9" t="s">
        <v>127</v>
      </c>
      <c r="C18" s="10"/>
      <c r="D18" s="11"/>
      <c r="E18" s="11"/>
      <c r="F18" s="12">
        <v>99</v>
      </c>
      <c r="G18" s="8">
        <v>1960</v>
      </c>
      <c r="H18" s="8" t="s">
        <v>510</v>
      </c>
      <c r="I18" s="8" t="s">
        <v>128</v>
      </c>
      <c r="J18" s="12" t="s">
        <v>372</v>
      </c>
      <c r="K18" s="12" t="s">
        <v>148</v>
      </c>
      <c r="L18" s="8" t="s">
        <v>129</v>
      </c>
      <c r="M18" s="8" t="s">
        <v>513</v>
      </c>
      <c r="N18" s="274">
        <f t="shared" si="1"/>
        <v>10197000</v>
      </c>
      <c r="O18" s="14" t="s">
        <v>151</v>
      </c>
      <c r="P18" s="60" t="s">
        <v>54</v>
      </c>
    </row>
    <row r="19" spans="1:16" ht="23.25" customHeight="1" x14ac:dyDescent="0.25">
      <c r="A19" s="8">
        <f t="shared" si="0"/>
        <v>7</v>
      </c>
      <c r="B19" s="9" t="s">
        <v>127</v>
      </c>
      <c r="C19" s="10"/>
      <c r="D19" s="11"/>
      <c r="E19" s="11"/>
      <c r="F19" s="12">
        <v>2871</v>
      </c>
      <c r="G19" s="8">
        <v>1960</v>
      </c>
      <c r="H19" s="8" t="s">
        <v>510</v>
      </c>
      <c r="I19" s="8" t="s">
        <v>128</v>
      </c>
      <c r="J19" s="12" t="s">
        <v>372</v>
      </c>
      <c r="K19" s="12" t="s">
        <v>376</v>
      </c>
      <c r="L19" s="8" t="s">
        <v>129</v>
      </c>
      <c r="M19" s="8" t="s">
        <v>513</v>
      </c>
      <c r="N19" s="274">
        <f t="shared" si="1"/>
        <v>295713000</v>
      </c>
      <c r="O19" s="14" t="s">
        <v>151</v>
      </c>
      <c r="P19" s="60" t="s">
        <v>54</v>
      </c>
    </row>
    <row r="20" spans="1:16" ht="23.25" customHeight="1" x14ac:dyDescent="0.25">
      <c r="A20" s="8">
        <f t="shared" si="0"/>
        <v>8</v>
      </c>
      <c r="B20" s="9" t="s">
        <v>127</v>
      </c>
      <c r="C20" s="10"/>
      <c r="D20" s="11"/>
      <c r="E20" s="11"/>
      <c r="F20" s="12">
        <v>1646</v>
      </c>
      <c r="G20" s="8">
        <v>1960</v>
      </c>
      <c r="H20" s="8" t="s">
        <v>535</v>
      </c>
      <c r="I20" s="8" t="s">
        <v>128</v>
      </c>
      <c r="J20" s="12"/>
      <c r="K20" s="12"/>
      <c r="L20" s="8" t="s">
        <v>541</v>
      </c>
      <c r="M20" s="8" t="s">
        <v>513</v>
      </c>
      <c r="N20" s="274">
        <f t="shared" si="1"/>
        <v>169538000</v>
      </c>
      <c r="O20" s="8" t="s">
        <v>556</v>
      </c>
      <c r="P20" s="60" t="s">
        <v>268</v>
      </c>
    </row>
    <row r="21" spans="1:16" ht="23.25" customHeight="1" x14ac:dyDescent="0.25">
      <c r="A21" s="8">
        <f t="shared" si="0"/>
        <v>9</v>
      </c>
      <c r="B21" s="9" t="s">
        <v>127</v>
      </c>
      <c r="C21" s="10"/>
      <c r="D21" s="11"/>
      <c r="E21" s="11"/>
      <c r="F21" s="12">
        <v>41</v>
      </c>
      <c r="G21" s="8">
        <v>1960</v>
      </c>
      <c r="H21" s="8" t="s">
        <v>535</v>
      </c>
      <c r="I21" s="8" t="s">
        <v>128</v>
      </c>
      <c r="J21" s="12"/>
      <c r="K21" s="12"/>
      <c r="L21" s="8" t="s">
        <v>557</v>
      </c>
      <c r="M21" s="8" t="s">
        <v>513</v>
      </c>
      <c r="N21" s="274">
        <f t="shared" si="1"/>
        <v>4223000</v>
      </c>
      <c r="O21" s="8" t="s">
        <v>151</v>
      </c>
      <c r="P21" s="60" t="s">
        <v>62</v>
      </c>
    </row>
    <row r="22" spans="1:16" ht="23.25" customHeight="1" x14ac:dyDescent="0.25">
      <c r="A22" s="8">
        <f t="shared" si="0"/>
        <v>10</v>
      </c>
      <c r="B22" s="9" t="s">
        <v>127</v>
      </c>
      <c r="C22" s="10"/>
      <c r="D22" s="11"/>
      <c r="E22" s="11"/>
      <c r="F22" s="12">
        <v>1322</v>
      </c>
      <c r="G22" s="8">
        <v>1960</v>
      </c>
      <c r="H22" s="8" t="s">
        <v>398</v>
      </c>
      <c r="I22" s="8" t="s">
        <v>128</v>
      </c>
      <c r="J22" s="12" t="s">
        <v>372</v>
      </c>
      <c r="K22" s="12" t="s">
        <v>147</v>
      </c>
      <c r="L22" s="8" t="s">
        <v>541</v>
      </c>
      <c r="M22" s="14" t="s">
        <v>531</v>
      </c>
      <c r="N22" s="274">
        <f t="shared" si="1"/>
        <v>136166000</v>
      </c>
      <c r="O22" s="8" t="s">
        <v>552</v>
      </c>
      <c r="P22" s="60" t="s">
        <v>268</v>
      </c>
    </row>
    <row r="23" spans="1:16" ht="23.25" customHeight="1" x14ac:dyDescent="0.25">
      <c r="A23" s="8">
        <f t="shared" si="0"/>
        <v>11</v>
      </c>
      <c r="B23" s="9" t="s">
        <v>127</v>
      </c>
      <c r="C23" s="10"/>
      <c r="D23" s="11"/>
      <c r="E23" s="11"/>
      <c r="F23" s="12">
        <v>590</v>
      </c>
      <c r="G23" s="8">
        <v>1960</v>
      </c>
      <c r="H23" s="8" t="s">
        <v>398</v>
      </c>
      <c r="I23" s="8" t="s">
        <v>128</v>
      </c>
      <c r="J23" s="12" t="s">
        <v>372</v>
      </c>
      <c r="K23" s="12" t="s">
        <v>146</v>
      </c>
      <c r="L23" s="8" t="s">
        <v>553</v>
      </c>
      <c r="M23" s="14" t="s">
        <v>529</v>
      </c>
      <c r="N23" s="274">
        <f t="shared" si="1"/>
        <v>60770000</v>
      </c>
      <c r="O23" s="8" t="s">
        <v>530</v>
      </c>
      <c r="P23" s="60" t="s">
        <v>268</v>
      </c>
    </row>
    <row r="24" spans="1:16" ht="29.25" customHeight="1" x14ac:dyDescent="0.25">
      <c r="A24" s="8">
        <f t="shared" si="0"/>
        <v>12</v>
      </c>
      <c r="B24" s="15" t="s">
        <v>127</v>
      </c>
      <c r="C24" s="16"/>
      <c r="D24" s="11"/>
      <c r="E24" s="17"/>
      <c r="F24" s="12">
        <v>4081</v>
      </c>
      <c r="G24" s="8">
        <v>1960</v>
      </c>
      <c r="H24" s="8" t="s">
        <v>398</v>
      </c>
      <c r="I24" s="15" t="s">
        <v>128</v>
      </c>
      <c r="J24" s="12" t="s">
        <v>373</v>
      </c>
      <c r="K24" s="12" t="s">
        <v>165</v>
      </c>
      <c r="L24" s="8" t="s">
        <v>129</v>
      </c>
      <c r="M24" s="8" t="s">
        <v>513</v>
      </c>
      <c r="N24" s="274">
        <f t="shared" si="1"/>
        <v>420343000</v>
      </c>
      <c r="O24" s="15" t="s">
        <v>533</v>
      </c>
      <c r="P24" s="60" t="s">
        <v>54</v>
      </c>
    </row>
    <row r="25" spans="1:16" ht="29.25" customHeight="1" x14ac:dyDescent="0.25">
      <c r="A25" s="8">
        <f t="shared" si="0"/>
        <v>13</v>
      </c>
      <c r="B25" s="15" t="s">
        <v>127</v>
      </c>
      <c r="C25" s="19"/>
      <c r="D25" s="20"/>
      <c r="E25" s="17"/>
      <c r="F25" s="12">
        <v>1901</v>
      </c>
      <c r="G25" s="8">
        <v>1960</v>
      </c>
      <c r="H25" s="8" t="s">
        <v>369</v>
      </c>
      <c r="I25" s="15" t="s">
        <v>128</v>
      </c>
      <c r="J25" s="12" t="s">
        <v>371</v>
      </c>
      <c r="K25" s="12" t="s">
        <v>162</v>
      </c>
      <c r="L25" s="8" t="s">
        <v>129</v>
      </c>
      <c r="M25" s="8" t="s">
        <v>513</v>
      </c>
      <c r="N25" s="274">
        <f t="shared" si="1"/>
        <v>195803000</v>
      </c>
      <c r="O25" s="14" t="s">
        <v>518</v>
      </c>
      <c r="P25" s="60" t="s">
        <v>54</v>
      </c>
    </row>
    <row r="26" spans="1:16" ht="29.25" customHeight="1" x14ac:dyDescent="0.25">
      <c r="A26" s="8">
        <f t="shared" si="0"/>
        <v>14</v>
      </c>
      <c r="B26" s="15" t="s">
        <v>127</v>
      </c>
      <c r="C26" s="19"/>
      <c r="D26" s="20"/>
      <c r="E26" s="17"/>
      <c r="F26" s="12">
        <v>7446</v>
      </c>
      <c r="G26" s="8">
        <v>1960</v>
      </c>
      <c r="H26" s="8" t="s">
        <v>369</v>
      </c>
      <c r="I26" s="15" t="s">
        <v>128</v>
      </c>
      <c r="J26" s="12" t="s">
        <v>374</v>
      </c>
      <c r="K26" s="12" t="s">
        <v>164</v>
      </c>
      <c r="L26" s="8" t="s">
        <v>129</v>
      </c>
      <c r="M26" s="8" t="s">
        <v>513</v>
      </c>
      <c r="N26" s="274">
        <f t="shared" si="1"/>
        <v>766938000</v>
      </c>
      <c r="O26" s="15" t="s">
        <v>520</v>
      </c>
      <c r="P26" s="60" t="s">
        <v>54</v>
      </c>
    </row>
    <row r="27" spans="1:16" ht="29.25" customHeight="1" x14ac:dyDescent="0.25">
      <c r="A27" s="8">
        <f t="shared" si="0"/>
        <v>15</v>
      </c>
      <c r="B27" s="15" t="s">
        <v>127</v>
      </c>
      <c r="C27" s="19"/>
      <c r="D27" s="20"/>
      <c r="E27" s="17"/>
      <c r="F27" s="12">
        <v>2941</v>
      </c>
      <c r="G27" s="8">
        <v>1960</v>
      </c>
      <c r="H27" s="8" t="s">
        <v>514</v>
      </c>
      <c r="I27" s="15" t="s">
        <v>128</v>
      </c>
      <c r="J27" s="12" t="s">
        <v>375</v>
      </c>
      <c r="K27" s="12" t="s">
        <v>143</v>
      </c>
      <c r="L27" s="8" t="s">
        <v>526</v>
      </c>
      <c r="M27" s="14" t="s">
        <v>525</v>
      </c>
      <c r="N27" s="274">
        <f t="shared" si="1"/>
        <v>302923000</v>
      </c>
      <c r="O27" s="15" t="s">
        <v>527</v>
      </c>
      <c r="P27" s="60" t="s">
        <v>62</v>
      </c>
    </row>
    <row r="28" spans="1:16" ht="29.25" customHeight="1" x14ac:dyDescent="0.25">
      <c r="A28" s="8">
        <f t="shared" si="0"/>
        <v>16</v>
      </c>
      <c r="B28" s="15" t="s">
        <v>127</v>
      </c>
      <c r="C28" s="19"/>
      <c r="D28" s="20"/>
      <c r="E28" s="17"/>
      <c r="F28" s="12">
        <v>5623</v>
      </c>
      <c r="G28" s="8">
        <v>1960</v>
      </c>
      <c r="H28" s="8" t="s">
        <v>514</v>
      </c>
      <c r="I28" s="15" t="s">
        <v>128</v>
      </c>
      <c r="J28" s="12" t="s">
        <v>375</v>
      </c>
      <c r="K28" s="12" t="s">
        <v>141</v>
      </c>
      <c r="L28" s="8" t="s">
        <v>523</v>
      </c>
      <c r="M28" s="14" t="s">
        <v>522</v>
      </c>
      <c r="N28" s="274">
        <f t="shared" si="1"/>
        <v>579169000</v>
      </c>
      <c r="O28" s="15" t="s">
        <v>527</v>
      </c>
      <c r="P28" s="60" t="s">
        <v>62</v>
      </c>
    </row>
    <row r="29" spans="1:16" ht="29.25" customHeight="1" x14ac:dyDescent="0.25">
      <c r="A29" s="8">
        <f t="shared" si="0"/>
        <v>17</v>
      </c>
      <c r="B29" s="15" t="s">
        <v>127</v>
      </c>
      <c r="C29" s="19"/>
      <c r="D29" s="20"/>
      <c r="E29" s="17"/>
      <c r="F29" s="12">
        <v>2099</v>
      </c>
      <c r="G29" s="8">
        <v>1960</v>
      </c>
      <c r="H29" s="8" t="s">
        <v>514</v>
      </c>
      <c r="I29" s="15" t="s">
        <v>128</v>
      </c>
      <c r="J29" s="12" t="s">
        <v>375</v>
      </c>
      <c r="K29" s="12" t="s">
        <v>142</v>
      </c>
      <c r="L29" s="8" t="s">
        <v>526</v>
      </c>
      <c r="M29" s="14" t="s">
        <v>528</v>
      </c>
      <c r="N29" s="274">
        <f t="shared" si="1"/>
        <v>216197000</v>
      </c>
      <c r="O29" s="21" t="s">
        <v>527</v>
      </c>
      <c r="P29" s="60" t="s">
        <v>62</v>
      </c>
    </row>
    <row r="30" spans="1:16" ht="29.25" customHeight="1" x14ac:dyDescent="0.25">
      <c r="A30" s="8">
        <f t="shared" si="0"/>
        <v>18</v>
      </c>
      <c r="B30" s="15" t="s">
        <v>127</v>
      </c>
      <c r="C30" s="19"/>
      <c r="D30" s="20"/>
      <c r="E30" s="17"/>
      <c r="F30" s="12">
        <v>1384</v>
      </c>
      <c r="G30" s="8">
        <v>1960</v>
      </c>
      <c r="H30" s="8" t="s">
        <v>514</v>
      </c>
      <c r="I30" s="15" t="s">
        <v>128</v>
      </c>
      <c r="J30" s="12" t="s">
        <v>375</v>
      </c>
      <c r="K30" s="12" t="s">
        <v>143</v>
      </c>
      <c r="L30" s="8" t="s">
        <v>526</v>
      </c>
      <c r="M30" s="14" t="s">
        <v>524</v>
      </c>
      <c r="N30" s="274">
        <f t="shared" si="1"/>
        <v>142552000</v>
      </c>
      <c r="O30" s="15" t="s">
        <v>527</v>
      </c>
      <c r="P30" s="60" t="s">
        <v>62</v>
      </c>
    </row>
    <row r="31" spans="1:16" ht="29.25" customHeight="1" x14ac:dyDescent="0.25">
      <c r="A31" s="8">
        <f t="shared" si="0"/>
        <v>19</v>
      </c>
      <c r="B31" s="15" t="s">
        <v>127</v>
      </c>
      <c r="C31" s="19"/>
      <c r="D31" s="20"/>
      <c r="E31" s="17"/>
      <c r="F31" s="12">
        <v>5720</v>
      </c>
      <c r="G31" s="8">
        <v>1960</v>
      </c>
      <c r="H31" s="8" t="s">
        <v>398</v>
      </c>
      <c r="I31" s="15" t="s">
        <v>128</v>
      </c>
      <c r="J31" s="12" t="s">
        <v>372</v>
      </c>
      <c r="K31" s="12" t="s">
        <v>145</v>
      </c>
      <c r="L31" s="8" t="s">
        <v>523</v>
      </c>
      <c r="M31" s="14" t="s">
        <v>543</v>
      </c>
      <c r="N31" s="274">
        <f t="shared" si="1"/>
        <v>589160000</v>
      </c>
      <c r="O31" s="15" t="s">
        <v>527</v>
      </c>
      <c r="P31" s="60" t="s">
        <v>62</v>
      </c>
    </row>
    <row r="32" spans="1:16" ht="29.25" customHeight="1" x14ac:dyDescent="0.25">
      <c r="A32" s="8">
        <f t="shared" si="0"/>
        <v>20</v>
      </c>
      <c r="B32" s="15" t="s">
        <v>127</v>
      </c>
      <c r="C32" s="19"/>
      <c r="D32" s="20"/>
      <c r="E32" s="17"/>
      <c r="F32" s="12">
        <v>2944</v>
      </c>
      <c r="G32" s="8">
        <v>1960</v>
      </c>
      <c r="H32" s="8" t="s">
        <v>510</v>
      </c>
      <c r="I32" s="15" t="s">
        <v>128</v>
      </c>
      <c r="J32" s="12" t="s">
        <v>372</v>
      </c>
      <c r="K32" s="12" t="s">
        <v>144</v>
      </c>
      <c r="L32" s="8" t="s">
        <v>129</v>
      </c>
      <c r="M32" s="14" t="s">
        <v>512</v>
      </c>
      <c r="N32" s="274">
        <f t="shared" si="1"/>
        <v>303232000</v>
      </c>
      <c r="O32" s="14" t="s">
        <v>517</v>
      </c>
      <c r="P32" s="60" t="s">
        <v>54</v>
      </c>
    </row>
    <row r="33" spans="1:16" ht="29.25" customHeight="1" x14ac:dyDescent="0.25">
      <c r="A33" s="8">
        <f t="shared" si="0"/>
        <v>21</v>
      </c>
      <c r="B33" s="15" t="s">
        <v>127</v>
      </c>
      <c r="C33" s="19"/>
      <c r="D33" s="20"/>
      <c r="E33" s="17"/>
      <c r="F33" s="12">
        <v>10710</v>
      </c>
      <c r="G33" s="8">
        <v>1960</v>
      </c>
      <c r="H33" s="8" t="s">
        <v>398</v>
      </c>
      <c r="I33" s="15" t="s">
        <v>128</v>
      </c>
      <c r="J33" s="12" t="s">
        <v>377</v>
      </c>
      <c r="K33" s="12" t="s">
        <v>138</v>
      </c>
      <c r="L33" s="8" t="s">
        <v>129</v>
      </c>
      <c r="M33" s="14" t="s">
        <v>519</v>
      </c>
      <c r="N33" s="274">
        <f t="shared" si="1"/>
        <v>1103130000</v>
      </c>
      <c r="O33" s="15" t="s">
        <v>520</v>
      </c>
      <c r="P33" s="60" t="s">
        <v>54</v>
      </c>
    </row>
    <row r="34" spans="1:16" ht="29.25" customHeight="1" x14ac:dyDescent="0.25">
      <c r="A34" s="8">
        <f t="shared" si="0"/>
        <v>22</v>
      </c>
      <c r="B34" s="15" t="s">
        <v>127</v>
      </c>
      <c r="C34" s="19"/>
      <c r="D34" s="20"/>
      <c r="E34" s="17"/>
      <c r="F34" s="12">
        <v>7390</v>
      </c>
      <c r="G34" s="8">
        <v>1960</v>
      </c>
      <c r="H34" s="8" t="s">
        <v>398</v>
      </c>
      <c r="I34" s="15" t="s">
        <v>128</v>
      </c>
      <c r="J34" s="12" t="s">
        <v>377</v>
      </c>
      <c r="K34" s="12" t="s">
        <v>140</v>
      </c>
      <c r="L34" s="8" t="s">
        <v>129</v>
      </c>
      <c r="M34" s="14" t="s">
        <v>519</v>
      </c>
      <c r="N34" s="274">
        <f t="shared" si="1"/>
        <v>761170000</v>
      </c>
      <c r="O34" s="15" t="s">
        <v>520</v>
      </c>
      <c r="P34" s="60" t="s">
        <v>54</v>
      </c>
    </row>
    <row r="35" spans="1:16" ht="29.25" customHeight="1" x14ac:dyDescent="0.25">
      <c r="A35" s="8">
        <f t="shared" si="0"/>
        <v>23</v>
      </c>
      <c r="B35" s="15" t="s">
        <v>127</v>
      </c>
      <c r="C35" s="19"/>
      <c r="D35" s="20"/>
      <c r="E35" s="17"/>
      <c r="F35" s="12">
        <v>2547</v>
      </c>
      <c r="G35" s="8">
        <v>1960</v>
      </c>
      <c r="H35" s="8" t="s">
        <v>398</v>
      </c>
      <c r="I35" s="15" t="s">
        <v>128</v>
      </c>
      <c r="J35" s="12" t="s">
        <v>377</v>
      </c>
      <c r="K35" s="12" t="s">
        <v>139</v>
      </c>
      <c r="L35" s="8" t="s">
        <v>129</v>
      </c>
      <c r="M35" s="14" t="s">
        <v>519</v>
      </c>
      <c r="N35" s="274">
        <f t="shared" si="1"/>
        <v>262341000</v>
      </c>
      <c r="O35" s="15" t="s">
        <v>520</v>
      </c>
      <c r="P35" s="60" t="s">
        <v>54</v>
      </c>
    </row>
    <row r="36" spans="1:16" ht="29.25" customHeight="1" x14ac:dyDescent="0.25">
      <c r="A36" s="8">
        <f t="shared" si="0"/>
        <v>24</v>
      </c>
      <c r="B36" s="15" t="s">
        <v>127</v>
      </c>
      <c r="C36" s="19"/>
      <c r="D36" s="20"/>
      <c r="E36" s="17"/>
      <c r="F36" s="12">
        <v>6602</v>
      </c>
      <c r="G36" s="8">
        <v>1960</v>
      </c>
      <c r="H36" s="8" t="s">
        <v>514</v>
      </c>
      <c r="I36" s="15" t="s">
        <v>128</v>
      </c>
      <c r="J36" s="12" t="s">
        <v>378</v>
      </c>
      <c r="K36" s="12" t="s">
        <v>158</v>
      </c>
      <c r="L36" s="8" t="s">
        <v>129</v>
      </c>
      <c r="M36" s="8" t="s">
        <v>513</v>
      </c>
      <c r="N36" s="274">
        <f t="shared" si="1"/>
        <v>680006000</v>
      </c>
      <c r="O36" s="14" t="s">
        <v>517</v>
      </c>
      <c r="P36" s="60" t="s">
        <v>54</v>
      </c>
    </row>
    <row r="37" spans="1:16" ht="29.25" customHeight="1" x14ac:dyDescent="0.25">
      <c r="A37" s="8">
        <f t="shared" si="0"/>
        <v>25</v>
      </c>
      <c r="B37" s="15" t="s">
        <v>127</v>
      </c>
      <c r="C37" s="19"/>
      <c r="D37" s="20"/>
      <c r="E37" s="17"/>
      <c r="F37" s="12">
        <v>451</v>
      </c>
      <c r="G37" s="8">
        <v>1960</v>
      </c>
      <c r="H37" s="8" t="s">
        <v>510</v>
      </c>
      <c r="I37" s="15" t="s">
        <v>128</v>
      </c>
      <c r="J37" s="12" t="s">
        <v>378</v>
      </c>
      <c r="K37" s="12" t="s">
        <v>161</v>
      </c>
      <c r="L37" s="8" t="s">
        <v>129</v>
      </c>
      <c r="M37" s="8" t="s">
        <v>513</v>
      </c>
      <c r="N37" s="274">
        <f t="shared" si="1"/>
        <v>46453000</v>
      </c>
      <c r="O37" s="14" t="s">
        <v>517</v>
      </c>
      <c r="P37" s="60" t="s">
        <v>54</v>
      </c>
    </row>
    <row r="38" spans="1:16" ht="29.25" customHeight="1" x14ac:dyDescent="0.25">
      <c r="A38" s="8">
        <f t="shared" si="0"/>
        <v>26</v>
      </c>
      <c r="B38" s="15" t="s">
        <v>127</v>
      </c>
      <c r="C38" s="19"/>
      <c r="D38" s="20"/>
      <c r="E38" s="17"/>
      <c r="F38" s="12">
        <v>3691</v>
      </c>
      <c r="G38" s="8">
        <v>1960</v>
      </c>
      <c r="H38" s="8" t="s">
        <v>514</v>
      </c>
      <c r="I38" s="15" t="s">
        <v>128</v>
      </c>
      <c r="J38" s="12" t="s">
        <v>378</v>
      </c>
      <c r="K38" s="12" t="s">
        <v>159</v>
      </c>
      <c r="L38" s="8" t="s">
        <v>129</v>
      </c>
      <c r="M38" s="8" t="s">
        <v>513</v>
      </c>
      <c r="N38" s="274">
        <f t="shared" si="1"/>
        <v>380173000</v>
      </c>
      <c r="O38" s="15" t="s">
        <v>527</v>
      </c>
      <c r="P38" s="60" t="s">
        <v>54</v>
      </c>
    </row>
    <row r="39" spans="1:16" ht="29.25" customHeight="1" x14ac:dyDescent="0.25">
      <c r="A39" s="8">
        <f t="shared" si="0"/>
        <v>27</v>
      </c>
      <c r="B39" s="15" t="s">
        <v>127</v>
      </c>
      <c r="C39" s="19"/>
      <c r="D39" s="20"/>
      <c r="E39" s="17"/>
      <c r="F39" s="12">
        <v>4242</v>
      </c>
      <c r="G39" s="8">
        <v>1960</v>
      </c>
      <c r="H39" s="8" t="s">
        <v>514</v>
      </c>
      <c r="I39" s="15" t="s">
        <v>128</v>
      </c>
      <c r="J39" s="12" t="s">
        <v>378</v>
      </c>
      <c r="K39" s="12" t="s">
        <v>160</v>
      </c>
      <c r="L39" s="8" t="s">
        <v>129</v>
      </c>
      <c r="M39" s="8" t="s">
        <v>513</v>
      </c>
      <c r="N39" s="274">
        <f t="shared" si="1"/>
        <v>436926000</v>
      </c>
      <c r="O39" s="14" t="s">
        <v>518</v>
      </c>
      <c r="P39" s="60" t="s">
        <v>54</v>
      </c>
    </row>
    <row r="40" spans="1:16" ht="29.25" customHeight="1" x14ac:dyDescent="0.25">
      <c r="A40" s="8">
        <f t="shared" si="0"/>
        <v>28</v>
      </c>
      <c r="B40" s="15" t="s">
        <v>127</v>
      </c>
      <c r="C40" s="19"/>
      <c r="D40" s="20"/>
      <c r="E40" s="17"/>
      <c r="F40" s="12">
        <v>1306</v>
      </c>
      <c r="G40" s="8">
        <v>1960</v>
      </c>
      <c r="H40" s="8" t="s">
        <v>511</v>
      </c>
      <c r="I40" s="15" t="s">
        <v>128</v>
      </c>
      <c r="J40" s="18" t="s">
        <v>371</v>
      </c>
      <c r="K40" s="12" t="s">
        <v>156</v>
      </c>
      <c r="L40" s="8" t="s">
        <v>129</v>
      </c>
      <c r="M40" s="8" t="s">
        <v>513</v>
      </c>
      <c r="N40" s="274">
        <f t="shared" si="1"/>
        <v>134518000</v>
      </c>
      <c r="O40" s="15" t="s">
        <v>151</v>
      </c>
      <c r="P40" s="60" t="s">
        <v>54</v>
      </c>
    </row>
    <row r="41" spans="1:16" ht="29.25" customHeight="1" x14ac:dyDescent="0.25">
      <c r="A41" s="8">
        <f t="shared" si="0"/>
        <v>29</v>
      </c>
      <c r="B41" s="15" t="s">
        <v>127</v>
      </c>
      <c r="C41" s="574"/>
      <c r="D41" s="575"/>
      <c r="E41" s="15"/>
      <c r="F41" s="12">
        <v>4728</v>
      </c>
      <c r="G41" s="8">
        <v>1960</v>
      </c>
      <c r="H41" s="8" t="s">
        <v>398</v>
      </c>
      <c r="I41" s="15" t="s">
        <v>128</v>
      </c>
      <c r="J41" s="18" t="s">
        <v>371</v>
      </c>
      <c r="K41" s="12" t="s">
        <v>155</v>
      </c>
      <c r="L41" s="8" t="s">
        <v>129</v>
      </c>
      <c r="M41" s="8" t="s">
        <v>513</v>
      </c>
      <c r="N41" s="274">
        <f t="shared" si="1"/>
        <v>486984000</v>
      </c>
      <c r="O41" s="15" t="s">
        <v>151</v>
      </c>
      <c r="P41" s="60" t="s">
        <v>54</v>
      </c>
    </row>
    <row r="42" spans="1:16" ht="29.25" customHeight="1" x14ac:dyDescent="0.25">
      <c r="A42" s="8">
        <f t="shared" si="0"/>
        <v>30</v>
      </c>
      <c r="B42" s="15" t="s">
        <v>127</v>
      </c>
      <c r="C42" s="19"/>
      <c r="D42" s="20"/>
      <c r="E42" s="17"/>
      <c r="F42" s="12">
        <v>8888</v>
      </c>
      <c r="G42" s="8">
        <v>1960</v>
      </c>
      <c r="H42" s="8" t="s">
        <v>398</v>
      </c>
      <c r="I42" s="15" t="s">
        <v>128</v>
      </c>
      <c r="J42" s="18" t="s">
        <v>371</v>
      </c>
      <c r="K42" s="12" t="s">
        <v>154</v>
      </c>
      <c r="L42" s="8" t="s">
        <v>129</v>
      </c>
      <c r="M42" s="8" t="s">
        <v>513</v>
      </c>
      <c r="N42" s="274">
        <f t="shared" si="1"/>
        <v>915464000</v>
      </c>
      <c r="O42" s="15" t="s">
        <v>151</v>
      </c>
      <c r="P42" s="60" t="s">
        <v>54</v>
      </c>
    </row>
    <row r="43" spans="1:16" ht="29.25" customHeight="1" x14ac:dyDescent="0.25">
      <c r="A43" s="8">
        <f t="shared" si="0"/>
        <v>31</v>
      </c>
      <c r="B43" s="15" t="s">
        <v>127</v>
      </c>
      <c r="C43" s="19"/>
      <c r="D43" s="20"/>
      <c r="E43" s="17"/>
      <c r="F43" s="12">
        <v>1772</v>
      </c>
      <c r="G43" s="8">
        <v>1960</v>
      </c>
      <c r="H43" s="8" t="s">
        <v>398</v>
      </c>
      <c r="I43" s="15" t="s">
        <v>128</v>
      </c>
      <c r="J43" s="18" t="s">
        <v>371</v>
      </c>
      <c r="K43" s="12" t="s">
        <v>157</v>
      </c>
      <c r="L43" s="8" t="s">
        <v>129</v>
      </c>
      <c r="M43" s="8" t="s">
        <v>513</v>
      </c>
      <c r="N43" s="274">
        <f t="shared" si="1"/>
        <v>182516000</v>
      </c>
      <c r="O43" s="15" t="s">
        <v>151</v>
      </c>
      <c r="P43" s="60" t="s">
        <v>54</v>
      </c>
    </row>
    <row r="44" spans="1:16" ht="29.25" customHeight="1" x14ac:dyDescent="0.25">
      <c r="A44" s="8">
        <f t="shared" si="0"/>
        <v>32</v>
      </c>
      <c r="B44" s="15" t="s">
        <v>127</v>
      </c>
      <c r="C44" s="19"/>
      <c r="D44" s="20"/>
      <c r="E44" s="17"/>
      <c r="F44" s="12">
        <v>6032</v>
      </c>
      <c r="G44" s="8">
        <v>1960</v>
      </c>
      <c r="H44" s="8" t="s">
        <v>369</v>
      </c>
      <c r="I44" s="15" t="s">
        <v>128</v>
      </c>
      <c r="J44" s="18" t="s">
        <v>371</v>
      </c>
      <c r="K44" s="12" t="s">
        <v>163</v>
      </c>
      <c r="L44" s="8" t="s">
        <v>129</v>
      </c>
      <c r="M44" s="8" t="s">
        <v>513</v>
      </c>
      <c r="N44" s="274">
        <f t="shared" si="1"/>
        <v>621296000</v>
      </c>
      <c r="O44" s="15" t="s">
        <v>151</v>
      </c>
      <c r="P44" s="60" t="s">
        <v>54</v>
      </c>
    </row>
    <row r="45" spans="1:16" ht="29.25" customHeight="1" x14ac:dyDescent="0.25">
      <c r="A45" s="8">
        <f t="shared" si="0"/>
        <v>33</v>
      </c>
      <c r="B45" s="15" t="s">
        <v>127</v>
      </c>
      <c r="C45" s="19"/>
      <c r="D45" s="20"/>
      <c r="E45" s="17"/>
      <c r="F45" s="12">
        <v>5439</v>
      </c>
      <c r="G45" s="8">
        <v>1960</v>
      </c>
      <c r="H45" s="8" t="s">
        <v>398</v>
      </c>
      <c r="I45" s="15" t="s">
        <v>128</v>
      </c>
      <c r="J45" s="18" t="s">
        <v>371</v>
      </c>
      <c r="K45" s="12" t="s">
        <v>153</v>
      </c>
      <c r="L45" s="8" t="s">
        <v>129</v>
      </c>
      <c r="M45" s="8" t="s">
        <v>513</v>
      </c>
      <c r="N45" s="274">
        <f t="shared" si="1"/>
        <v>560217000</v>
      </c>
      <c r="O45" s="15" t="s">
        <v>151</v>
      </c>
      <c r="P45" s="60" t="s">
        <v>54</v>
      </c>
    </row>
    <row r="46" spans="1:16" ht="29.25" customHeight="1" x14ac:dyDescent="0.25">
      <c r="A46" s="8">
        <f t="shared" si="0"/>
        <v>34</v>
      </c>
      <c r="B46" s="15" t="s">
        <v>127</v>
      </c>
      <c r="C46" s="19"/>
      <c r="D46" s="20"/>
      <c r="E46" s="17"/>
      <c r="F46" s="12">
        <v>4902</v>
      </c>
      <c r="G46" s="8">
        <v>1960</v>
      </c>
      <c r="H46" s="8" t="s">
        <v>514</v>
      </c>
      <c r="I46" s="15" t="s">
        <v>128</v>
      </c>
      <c r="J46" s="249" t="s">
        <v>383</v>
      </c>
      <c r="K46" s="12" t="s">
        <v>384</v>
      </c>
      <c r="L46" s="8" t="s">
        <v>129</v>
      </c>
      <c r="M46" s="14" t="s">
        <v>515</v>
      </c>
      <c r="N46" s="274">
        <f t="shared" si="1"/>
        <v>504906000</v>
      </c>
      <c r="O46" s="15" t="s">
        <v>532</v>
      </c>
      <c r="P46" s="60" t="s">
        <v>54</v>
      </c>
    </row>
    <row r="47" spans="1:16" ht="29.25" customHeight="1" x14ac:dyDescent="0.25">
      <c r="A47" s="8">
        <f t="shared" si="0"/>
        <v>35</v>
      </c>
      <c r="B47" s="15" t="s">
        <v>127</v>
      </c>
      <c r="C47" s="19"/>
      <c r="D47" s="20"/>
      <c r="E47" s="17"/>
      <c r="F47" s="12">
        <v>5529</v>
      </c>
      <c r="G47" s="8">
        <v>2005</v>
      </c>
      <c r="H47" s="8" t="s">
        <v>514</v>
      </c>
      <c r="I47" s="15" t="s">
        <v>128</v>
      </c>
      <c r="J47" s="249" t="s">
        <v>385</v>
      </c>
      <c r="K47" s="12" t="s">
        <v>386</v>
      </c>
      <c r="L47" s="8" t="s">
        <v>129</v>
      </c>
      <c r="M47" s="14" t="s">
        <v>515</v>
      </c>
      <c r="N47" s="274">
        <f t="shared" si="1"/>
        <v>569487000</v>
      </c>
      <c r="O47" s="15" t="s">
        <v>532</v>
      </c>
      <c r="P47" s="60" t="s">
        <v>54</v>
      </c>
    </row>
    <row r="48" spans="1:16" ht="29.25" customHeight="1" x14ac:dyDescent="0.25">
      <c r="A48" s="8">
        <f t="shared" si="0"/>
        <v>36</v>
      </c>
      <c r="B48" s="15" t="s">
        <v>127</v>
      </c>
      <c r="C48" s="19"/>
      <c r="D48" s="20"/>
      <c r="E48" s="17"/>
      <c r="F48" s="12">
        <v>1592</v>
      </c>
      <c r="G48" s="8">
        <v>1960</v>
      </c>
      <c r="H48" s="8" t="s">
        <v>398</v>
      </c>
      <c r="I48" s="15" t="s">
        <v>128</v>
      </c>
      <c r="J48" s="249" t="s">
        <v>387</v>
      </c>
      <c r="K48" s="12" t="s">
        <v>152</v>
      </c>
      <c r="L48" s="8" t="s">
        <v>129</v>
      </c>
      <c r="M48" s="8" t="s">
        <v>515</v>
      </c>
      <c r="N48" s="274">
        <f t="shared" si="1"/>
        <v>163976000</v>
      </c>
      <c r="O48" s="14" t="s">
        <v>520</v>
      </c>
      <c r="P48" s="60" t="s">
        <v>54</v>
      </c>
    </row>
    <row r="49" spans="1:16" ht="29.25" customHeight="1" x14ac:dyDescent="0.25">
      <c r="A49" s="8">
        <f t="shared" si="0"/>
        <v>37</v>
      </c>
      <c r="B49" s="15" t="s">
        <v>127</v>
      </c>
      <c r="C49" s="19"/>
      <c r="D49" s="20"/>
      <c r="E49" s="17"/>
      <c r="F49" s="12">
        <v>2915</v>
      </c>
      <c r="G49" s="8">
        <v>1960</v>
      </c>
      <c r="H49" s="8" t="s">
        <v>535</v>
      </c>
      <c r="I49" s="15" t="s">
        <v>128</v>
      </c>
      <c r="J49" s="18" t="s">
        <v>389</v>
      </c>
      <c r="K49" s="12" t="s">
        <v>388</v>
      </c>
      <c r="L49" s="8" t="s">
        <v>129</v>
      </c>
      <c r="M49" s="14" t="s">
        <v>516</v>
      </c>
      <c r="N49" s="274">
        <f t="shared" si="1"/>
        <v>300245000</v>
      </c>
      <c r="O49" s="15" t="s">
        <v>527</v>
      </c>
      <c r="P49" s="60" t="s">
        <v>54</v>
      </c>
    </row>
    <row r="50" spans="1:16" ht="29.25" customHeight="1" x14ac:dyDescent="0.25">
      <c r="A50" s="8">
        <f t="shared" si="0"/>
        <v>38</v>
      </c>
      <c r="B50" s="15" t="s">
        <v>127</v>
      </c>
      <c r="C50" s="19"/>
      <c r="D50" s="20"/>
      <c r="E50" s="17"/>
      <c r="F50" s="12">
        <v>1850</v>
      </c>
      <c r="G50" s="8">
        <v>1960</v>
      </c>
      <c r="H50" s="8" t="s">
        <v>535</v>
      </c>
      <c r="I50" s="15" t="s">
        <v>128</v>
      </c>
      <c r="J50" s="18" t="s">
        <v>389</v>
      </c>
      <c r="K50" s="12" t="s">
        <v>223</v>
      </c>
      <c r="L50" s="8" t="s">
        <v>129</v>
      </c>
      <c r="M50" s="14" t="s">
        <v>516</v>
      </c>
      <c r="N50" s="274">
        <f t="shared" si="1"/>
        <v>190550000</v>
      </c>
      <c r="O50" s="15" t="s">
        <v>527</v>
      </c>
      <c r="P50" s="60" t="s">
        <v>54</v>
      </c>
    </row>
    <row r="51" spans="1:16" ht="29.25" customHeight="1" x14ac:dyDescent="0.25">
      <c r="A51" s="8">
        <f t="shared" si="0"/>
        <v>39</v>
      </c>
      <c r="B51" s="15" t="s">
        <v>127</v>
      </c>
      <c r="C51" s="19"/>
      <c r="D51" s="20"/>
      <c r="E51" s="17"/>
      <c r="F51" s="12">
        <v>1480</v>
      </c>
      <c r="G51" s="8">
        <v>1960</v>
      </c>
      <c r="H51" s="8" t="s">
        <v>514</v>
      </c>
      <c r="I51" s="15" t="s">
        <v>128</v>
      </c>
      <c r="J51" s="18" t="s">
        <v>389</v>
      </c>
      <c r="K51" s="12" t="s">
        <v>282</v>
      </c>
      <c r="L51" s="8" t="s">
        <v>129</v>
      </c>
      <c r="M51" s="14" t="s">
        <v>516</v>
      </c>
      <c r="N51" s="274">
        <f t="shared" si="1"/>
        <v>152440000</v>
      </c>
      <c r="O51" s="15" t="s">
        <v>532</v>
      </c>
      <c r="P51" s="60" t="s">
        <v>54</v>
      </c>
    </row>
    <row r="52" spans="1:16" ht="29.25" customHeight="1" x14ac:dyDescent="0.25">
      <c r="A52" s="8">
        <f t="shared" si="0"/>
        <v>40</v>
      </c>
      <c r="B52" s="15" t="s">
        <v>127</v>
      </c>
      <c r="C52" s="19"/>
      <c r="D52" s="20"/>
      <c r="E52" s="17"/>
      <c r="F52" s="12">
        <v>6089</v>
      </c>
      <c r="G52" s="8">
        <v>1960</v>
      </c>
      <c r="H52" s="8" t="s">
        <v>535</v>
      </c>
      <c r="I52" s="15" t="s">
        <v>128</v>
      </c>
      <c r="J52" s="18" t="s">
        <v>390</v>
      </c>
      <c r="K52" s="12" t="s">
        <v>391</v>
      </c>
      <c r="L52" s="22" t="s">
        <v>584</v>
      </c>
      <c r="M52" s="14" t="s">
        <v>516</v>
      </c>
      <c r="N52" s="274">
        <f t="shared" si="1"/>
        <v>627167000</v>
      </c>
      <c r="O52" s="15" t="s">
        <v>584</v>
      </c>
      <c r="P52" s="60" t="s">
        <v>268</v>
      </c>
    </row>
    <row r="53" spans="1:16" ht="29.25" customHeight="1" x14ac:dyDescent="0.25">
      <c r="A53" s="8">
        <f t="shared" si="0"/>
        <v>41</v>
      </c>
      <c r="B53" s="15" t="s">
        <v>127</v>
      </c>
      <c r="C53" s="19"/>
      <c r="D53" s="20"/>
      <c r="E53" s="17"/>
      <c r="F53" s="12">
        <v>3234</v>
      </c>
      <c r="G53" s="8">
        <v>1960</v>
      </c>
      <c r="H53" s="8" t="s">
        <v>398</v>
      </c>
      <c r="I53" s="15" t="s">
        <v>128</v>
      </c>
      <c r="J53" s="18" t="s">
        <v>392</v>
      </c>
      <c r="K53" s="12" t="s">
        <v>130</v>
      </c>
      <c r="L53" s="8" t="s">
        <v>129</v>
      </c>
      <c r="M53" s="14" t="s">
        <v>516</v>
      </c>
      <c r="N53" s="274">
        <f t="shared" si="1"/>
        <v>333102000</v>
      </c>
      <c r="O53" s="15" t="s">
        <v>532</v>
      </c>
      <c r="P53" s="60" t="s">
        <v>54</v>
      </c>
    </row>
    <row r="54" spans="1:16" ht="29.25" customHeight="1" x14ac:dyDescent="0.25">
      <c r="A54" s="8">
        <f t="shared" si="0"/>
        <v>42</v>
      </c>
      <c r="B54" s="15" t="s">
        <v>127</v>
      </c>
      <c r="C54" s="19"/>
      <c r="D54" s="20"/>
      <c r="E54" s="17"/>
      <c r="F54" s="12">
        <v>2840</v>
      </c>
      <c r="G54" s="8">
        <v>1960</v>
      </c>
      <c r="H54" s="8" t="s">
        <v>398</v>
      </c>
      <c r="I54" s="15" t="s">
        <v>128</v>
      </c>
      <c r="J54" s="18" t="s">
        <v>389</v>
      </c>
      <c r="K54" s="12" t="s">
        <v>393</v>
      </c>
      <c r="L54" s="8" t="s">
        <v>536</v>
      </c>
      <c r="M54" s="14" t="s">
        <v>516</v>
      </c>
      <c r="N54" s="274">
        <f t="shared" si="1"/>
        <v>292520000</v>
      </c>
      <c r="O54" s="15" t="s">
        <v>532</v>
      </c>
      <c r="P54" s="60" t="s">
        <v>54</v>
      </c>
    </row>
    <row r="55" spans="1:16" ht="29.25" customHeight="1" x14ac:dyDescent="0.25">
      <c r="A55" s="8">
        <f t="shared" si="0"/>
        <v>43</v>
      </c>
      <c r="B55" s="15" t="s">
        <v>127</v>
      </c>
      <c r="C55" s="19"/>
      <c r="D55" s="20"/>
      <c r="E55" s="17"/>
      <c r="F55" s="12">
        <v>4500</v>
      </c>
      <c r="G55" s="8">
        <v>1960</v>
      </c>
      <c r="H55" s="8" t="s">
        <v>514</v>
      </c>
      <c r="I55" s="15" t="s">
        <v>128</v>
      </c>
      <c r="J55" s="18" t="s">
        <v>389</v>
      </c>
      <c r="K55" s="12" t="s">
        <v>224</v>
      </c>
      <c r="L55" s="8" t="s">
        <v>536</v>
      </c>
      <c r="M55" s="14" t="s">
        <v>516</v>
      </c>
      <c r="N55" s="274">
        <f t="shared" si="1"/>
        <v>463500000</v>
      </c>
      <c r="O55" s="15" t="s">
        <v>532</v>
      </c>
      <c r="P55" s="60" t="s">
        <v>54</v>
      </c>
    </row>
    <row r="56" spans="1:16" ht="29.25" customHeight="1" x14ac:dyDescent="0.25">
      <c r="A56" s="8">
        <f t="shared" si="0"/>
        <v>44</v>
      </c>
      <c r="B56" s="15" t="s">
        <v>127</v>
      </c>
      <c r="C56" s="19"/>
      <c r="D56" s="20"/>
      <c r="E56" s="17"/>
      <c r="F56" s="12">
        <v>3934</v>
      </c>
      <c r="G56" s="8">
        <v>1960</v>
      </c>
      <c r="H56" s="8" t="s">
        <v>514</v>
      </c>
      <c r="I56" s="15" t="s">
        <v>128</v>
      </c>
      <c r="J56" s="18" t="s">
        <v>370</v>
      </c>
      <c r="K56" s="12" t="s">
        <v>136</v>
      </c>
      <c r="L56" s="8" t="s">
        <v>536</v>
      </c>
      <c r="M56" s="14" t="s">
        <v>542</v>
      </c>
      <c r="N56" s="274">
        <f t="shared" si="1"/>
        <v>405202000</v>
      </c>
      <c r="O56" s="14" t="s">
        <v>517</v>
      </c>
      <c r="P56" s="60" t="s">
        <v>54</v>
      </c>
    </row>
    <row r="57" spans="1:16" ht="29.25" customHeight="1" x14ac:dyDescent="0.25">
      <c r="A57" s="8">
        <f t="shared" si="0"/>
        <v>45</v>
      </c>
      <c r="B57" s="15" t="s">
        <v>127</v>
      </c>
      <c r="C57" s="19"/>
      <c r="D57" s="20"/>
      <c r="E57" s="17"/>
      <c r="F57" s="12">
        <v>8549</v>
      </c>
      <c r="G57" s="8">
        <v>1960</v>
      </c>
      <c r="H57" s="8" t="s">
        <v>514</v>
      </c>
      <c r="I57" s="15" t="s">
        <v>128</v>
      </c>
      <c r="J57" s="18" t="s">
        <v>370</v>
      </c>
      <c r="K57" s="12" t="s">
        <v>137</v>
      </c>
      <c r="L57" s="8" t="s">
        <v>536</v>
      </c>
      <c r="M57" s="14" t="s">
        <v>542</v>
      </c>
      <c r="N57" s="274">
        <f t="shared" si="1"/>
        <v>880547000</v>
      </c>
      <c r="O57" s="14" t="s">
        <v>517</v>
      </c>
      <c r="P57" s="60" t="s">
        <v>54</v>
      </c>
    </row>
    <row r="58" spans="1:16" ht="29.25" customHeight="1" x14ac:dyDescent="0.25">
      <c r="A58" s="8">
        <f t="shared" si="0"/>
        <v>46</v>
      </c>
      <c r="B58" s="15" t="s">
        <v>127</v>
      </c>
      <c r="C58" s="19"/>
      <c r="D58" s="20"/>
      <c r="E58" s="17"/>
      <c r="F58" s="12">
        <v>7133</v>
      </c>
      <c r="G58" s="8">
        <v>1960</v>
      </c>
      <c r="H58" s="8" t="s">
        <v>369</v>
      </c>
      <c r="I58" s="15" t="s">
        <v>128</v>
      </c>
      <c r="J58" s="18" t="s">
        <v>370</v>
      </c>
      <c r="K58" s="12" t="s">
        <v>134</v>
      </c>
      <c r="L58" s="8" t="s">
        <v>536</v>
      </c>
      <c r="M58" s="14" t="s">
        <v>539</v>
      </c>
      <c r="N58" s="274">
        <f t="shared" si="1"/>
        <v>734699000</v>
      </c>
      <c r="O58" s="15" t="s">
        <v>534</v>
      </c>
      <c r="P58" s="60" t="s">
        <v>54</v>
      </c>
    </row>
    <row r="59" spans="1:16" ht="29.25" customHeight="1" x14ac:dyDescent="0.25">
      <c r="A59" s="8">
        <f t="shared" si="0"/>
        <v>47</v>
      </c>
      <c r="B59" s="15" t="s">
        <v>127</v>
      </c>
      <c r="C59" s="19"/>
      <c r="D59" s="20"/>
      <c r="E59" s="17"/>
      <c r="F59" s="12">
        <v>3443</v>
      </c>
      <c r="G59" s="8">
        <v>1960</v>
      </c>
      <c r="H59" s="8" t="s">
        <v>535</v>
      </c>
      <c r="I59" s="15" t="s">
        <v>128</v>
      </c>
      <c r="J59" s="18" t="s">
        <v>370</v>
      </c>
      <c r="K59" s="12" t="s">
        <v>133</v>
      </c>
      <c r="L59" s="8" t="s">
        <v>536</v>
      </c>
      <c r="M59" s="14" t="s">
        <v>538</v>
      </c>
      <c r="N59" s="274">
        <f t="shared" si="1"/>
        <v>354629000</v>
      </c>
      <c r="O59" s="15" t="s">
        <v>534</v>
      </c>
      <c r="P59" s="60" t="s">
        <v>54</v>
      </c>
    </row>
    <row r="60" spans="1:16" ht="29.25" customHeight="1" x14ac:dyDescent="0.25">
      <c r="A60" s="8">
        <f t="shared" si="0"/>
        <v>48</v>
      </c>
      <c r="B60" s="15" t="s">
        <v>127</v>
      </c>
      <c r="C60" s="16"/>
      <c r="D60" s="11"/>
      <c r="E60" s="17"/>
      <c r="F60" s="12">
        <v>13070</v>
      </c>
      <c r="G60" s="8">
        <v>1960</v>
      </c>
      <c r="H60" s="8" t="s">
        <v>535</v>
      </c>
      <c r="I60" s="15" t="s">
        <v>128</v>
      </c>
      <c r="J60" s="18" t="s">
        <v>370</v>
      </c>
      <c r="K60" s="12" t="s">
        <v>132</v>
      </c>
      <c r="L60" s="8" t="s">
        <v>536</v>
      </c>
      <c r="M60" s="14" t="s">
        <v>537</v>
      </c>
      <c r="N60" s="274">
        <f t="shared" si="1"/>
        <v>1346210000</v>
      </c>
      <c r="O60" s="15" t="s">
        <v>534</v>
      </c>
      <c r="P60" s="60" t="s">
        <v>54</v>
      </c>
    </row>
    <row r="61" spans="1:16" ht="23.25" customHeight="1" x14ac:dyDescent="0.25">
      <c r="A61" s="8">
        <f t="shared" si="0"/>
        <v>49</v>
      </c>
      <c r="B61" s="23" t="s">
        <v>167</v>
      </c>
      <c r="C61" s="23"/>
      <c r="D61" s="17"/>
      <c r="E61" s="15"/>
      <c r="F61" s="12">
        <v>5362.5</v>
      </c>
      <c r="G61" s="8">
        <v>1960</v>
      </c>
      <c r="H61" s="202" t="s">
        <v>399</v>
      </c>
      <c r="I61" s="15" t="s">
        <v>128</v>
      </c>
      <c r="J61" s="15"/>
      <c r="K61" s="8"/>
      <c r="L61" s="8" t="s">
        <v>168</v>
      </c>
      <c r="M61" s="8" t="s">
        <v>118</v>
      </c>
      <c r="N61" s="13">
        <f t="shared" si="1"/>
        <v>552337500</v>
      </c>
      <c r="O61" s="15"/>
      <c r="P61" s="60" t="s">
        <v>53</v>
      </c>
    </row>
    <row r="62" spans="1:16" ht="23.25" customHeight="1" x14ac:dyDescent="0.25">
      <c r="A62" s="8">
        <f t="shared" si="0"/>
        <v>50</v>
      </c>
      <c r="B62" s="23" t="s">
        <v>167</v>
      </c>
      <c r="C62" s="23"/>
      <c r="D62" s="17"/>
      <c r="E62" s="15"/>
      <c r="F62" s="12">
        <v>2000</v>
      </c>
      <c r="G62" s="8"/>
      <c r="H62" s="202" t="s">
        <v>400</v>
      </c>
      <c r="I62" s="15" t="s">
        <v>128</v>
      </c>
      <c r="J62" s="15"/>
      <c r="K62" s="8"/>
      <c r="L62" s="8" t="s">
        <v>168</v>
      </c>
      <c r="M62" s="8" t="s">
        <v>118</v>
      </c>
      <c r="N62" s="13">
        <f t="shared" si="1"/>
        <v>206000000</v>
      </c>
      <c r="O62" s="15"/>
      <c r="P62" s="60" t="s">
        <v>53</v>
      </c>
    </row>
    <row r="63" spans="1:16" ht="23.25" customHeight="1" x14ac:dyDescent="0.25">
      <c r="A63" s="8">
        <f t="shared" si="0"/>
        <v>51</v>
      </c>
      <c r="B63" s="23" t="s">
        <v>167</v>
      </c>
      <c r="C63" s="23"/>
      <c r="D63" s="17"/>
      <c r="E63" s="15"/>
      <c r="F63" s="12">
        <v>2537.5</v>
      </c>
      <c r="G63" s="8"/>
      <c r="H63" s="202" t="s">
        <v>401</v>
      </c>
      <c r="I63" s="15"/>
      <c r="J63" s="15"/>
      <c r="K63" s="8"/>
      <c r="L63" s="8" t="s">
        <v>168</v>
      </c>
      <c r="M63" s="8" t="s">
        <v>118</v>
      </c>
      <c r="N63" s="13">
        <f t="shared" si="1"/>
        <v>261362500</v>
      </c>
      <c r="O63" s="15"/>
      <c r="P63" s="60" t="s">
        <v>53</v>
      </c>
    </row>
    <row r="64" spans="1:16" ht="23.25" customHeight="1" x14ac:dyDescent="0.25">
      <c r="A64" s="8">
        <f t="shared" si="0"/>
        <v>52</v>
      </c>
      <c r="B64" s="23" t="s">
        <v>167</v>
      </c>
      <c r="C64" s="23"/>
      <c r="D64" s="17"/>
      <c r="E64" s="15"/>
      <c r="F64" s="12">
        <v>3664.5</v>
      </c>
      <c r="G64" s="8"/>
      <c r="H64" s="202" t="s">
        <v>402</v>
      </c>
      <c r="I64" s="15"/>
      <c r="J64" s="15"/>
      <c r="K64" s="8"/>
      <c r="L64" s="8" t="s">
        <v>168</v>
      </c>
      <c r="M64" s="8" t="s">
        <v>118</v>
      </c>
      <c r="N64" s="13">
        <f t="shared" si="1"/>
        <v>377443500</v>
      </c>
      <c r="O64" s="15"/>
      <c r="P64" s="60" t="s">
        <v>53</v>
      </c>
    </row>
    <row r="65" spans="1:16" ht="23.25" customHeight="1" x14ac:dyDescent="0.25">
      <c r="A65" s="8">
        <f t="shared" si="0"/>
        <v>53</v>
      </c>
      <c r="B65" s="23" t="s">
        <v>167</v>
      </c>
      <c r="C65" s="23"/>
      <c r="D65" s="17"/>
      <c r="E65" s="15"/>
      <c r="F65" s="12">
        <v>6325</v>
      </c>
      <c r="G65" s="8"/>
      <c r="H65" s="202" t="s">
        <v>403</v>
      </c>
      <c r="I65" s="15"/>
      <c r="J65" s="15"/>
      <c r="K65" s="8"/>
      <c r="L65" s="8" t="s">
        <v>168</v>
      </c>
      <c r="M65" s="8" t="s">
        <v>118</v>
      </c>
      <c r="N65" s="13">
        <f t="shared" si="1"/>
        <v>651475000</v>
      </c>
      <c r="O65" s="15"/>
      <c r="P65" s="60" t="s">
        <v>53</v>
      </c>
    </row>
    <row r="66" spans="1:16" ht="23.25" customHeight="1" x14ac:dyDescent="0.25">
      <c r="A66" s="8">
        <f t="shared" si="0"/>
        <v>54</v>
      </c>
      <c r="B66" s="23" t="s">
        <v>167</v>
      </c>
      <c r="C66" s="23"/>
      <c r="D66" s="17"/>
      <c r="E66" s="15"/>
      <c r="F66" s="12">
        <v>7811</v>
      </c>
      <c r="G66" s="8"/>
      <c r="H66" s="202" t="s">
        <v>404</v>
      </c>
      <c r="I66" s="15"/>
      <c r="J66" s="15"/>
      <c r="K66" s="8"/>
      <c r="L66" s="8" t="s">
        <v>168</v>
      </c>
      <c r="M66" s="8" t="s">
        <v>118</v>
      </c>
      <c r="N66" s="13">
        <f t="shared" si="1"/>
        <v>804533000</v>
      </c>
      <c r="O66" s="15"/>
      <c r="P66" s="60" t="s">
        <v>53</v>
      </c>
    </row>
    <row r="67" spans="1:16" ht="23.25" customHeight="1" x14ac:dyDescent="0.25">
      <c r="A67" s="8">
        <f t="shared" si="0"/>
        <v>55</v>
      </c>
      <c r="B67" s="23" t="s">
        <v>167</v>
      </c>
      <c r="C67" s="23"/>
      <c r="D67" s="17"/>
      <c r="E67" s="15"/>
      <c r="F67" s="12">
        <v>1612</v>
      </c>
      <c r="G67" s="8"/>
      <c r="H67" s="202" t="s">
        <v>405</v>
      </c>
      <c r="I67" s="15"/>
      <c r="J67" s="15"/>
      <c r="K67" s="8"/>
      <c r="L67" s="8" t="s">
        <v>168</v>
      </c>
      <c r="M67" s="8" t="s">
        <v>118</v>
      </c>
      <c r="N67" s="13">
        <f t="shared" si="1"/>
        <v>166036000</v>
      </c>
      <c r="O67" s="15"/>
      <c r="P67" s="60" t="s">
        <v>53</v>
      </c>
    </row>
    <row r="68" spans="1:16" ht="23.25" customHeight="1" x14ac:dyDescent="0.25">
      <c r="A68" s="8">
        <f t="shared" si="0"/>
        <v>56</v>
      </c>
      <c r="B68" s="23" t="s">
        <v>169</v>
      </c>
      <c r="C68" s="23"/>
      <c r="D68" s="17"/>
      <c r="E68" s="15"/>
      <c r="F68" s="12">
        <v>3870</v>
      </c>
      <c r="G68" s="8">
        <v>1960</v>
      </c>
      <c r="H68" s="8" t="s">
        <v>406</v>
      </c>
      <c r="I68" s="15" t="s">
        <v>128</v>
      </c>
      <c r="J68" s="15"/>
      <c r="K68" s="8"/>
      <c r="L68" s="8" t="s">
        <v>168</v>
      </c>
      <c r="M68" s="8" t="s">
        <v>118</v>
      </c>
      <c r="N68" s="13">
        <f t="shared" si="1"/>
        <v>398610000</v>
      </c>
      <c r="O68" s="15"/>
      <c r="P68" s="60" t="s">
        <v>53</v>
      </c>
    </row>
    <row r="69" spans="1:16" ht="23.25" customHeight="1" x14ac:dyDescent="0.25">
      <c r="A69" s="8">
        <f t="shared" si="0"/>
        <v>57</v>
      </c>
      <c r="B69" s="23" t="s">
        <v>170</v>
      </c>
      <c r="C69" s="23"/>
      <c r="D69" s="17"/>
      <c r="E69" s="15"/>
      <c r="F69" s="12">
        <v>3452.5</v>
      </c>
      <c r="G69" s="8">
        <v>1960</v>
      </c>
      <c r="H69" s="8" t="s">
        <v>407</v>
      </c>
      <c r="I69" s="15" t="s">
        <v>128</v>
      </c>
      <c r="J69" s="15"/>
      <c r="K69" s="8"/>
      <c r="L69" s="8" t="s">
        <v>168</v>
      </c>
      <c r="M69" s="8" t="s">
        <v>118</v>
      </c>
      <c r="N69" s="13">
        <f t="shared" si="1"/>
        <v>355607500</v>
      </c>
      <c r="O69" s="15"/>
      <c r="P69" s="60" t="s">
        <v>53</v>
      </c>
    </row>
    <row r="70" spans="1:16" ht="23.25" customHeight="1" x14ac:dyDescent="0.25">
      <c r="A70" s="8">
        <f t="shared" si="0"/>
        <v>58</v>
      </c>
      <c r="B70" s="23" t="s">
        <v>171</v>
      </c>
      <c r="C70" s="23"/>
      <c r="D70" s="17"/>
      <c r="E70" s="15"/>
      <c r="F70" s="12">
        <v>3582</v>
      </c>
      <c r="G70" s="8">
        <v>1960</v>
      </c>
      <c r="H70" s="8" t="s">
        <v>408</v>
      </c>
      <c r="I70" s="15" t="s">
        <v>128</v>
      </c>
      <c r="J70" s="15"/>
      <c r="K70" s="8"/>
      <c r="L70" s="8" t="s">
        <v>168</v>
      </c>
      <c r="M70" s="8" t="s">
        <v>118</v>
      </c>
      <c r="N70" s="13">
        <f t="shared" ref="N70:N91" si="2">F70*103000</f>
        <v>368946000</v>
      </c>
      <c r="O70" s="15"/>
      <c r="P70" s="60" t="s">
        <v>53</v>
      </c>
    </row>
    <row r="71" spans="1:16" ht="23.25" customHeight="1" x14ac:dyDescent="0.25">
      <c r="A71" s="8">
        <f t="shared" si="0"/>
        <v>59</v>
      </c>
      <c r="B71" s="23" t="s">
        <v>172</v>
      </c>
      <c r="C71" s="23"/>
      <c r="D71" s="17"/>
      <c r="E71" s="15"/>
      <c r="F71" s="12" t="s">
        <v>173</v>
      </c>
      <c r="G71" s="8">
        <v>1960</v>
      </c>
      <c r="H71" s="8" t="s">
        <v>409</v>
      </c>
      <c r="I71" s="15" t="s">
        <v>128</v>
      </c>
      <c r="J71" s="15"/>
      <c r="K71" s="8"/>
      <c r="L71" s="8" t="s">
        <v>168</v>
      </c>
      <c r="M71" s="8" t="s">
        <v>118</v>
      </c>
      <c r="N71" s="13">
        <f t="shared" si="2"/>
        <v>107326000</v>
      </c>
      <c r="O71" s="15"/>
      <c r="P71" s="60" t="s">
        <v>53</v>
      </c>
    </row>
    <row r="72" spans="1:16" ht="23.25" customHeight="1" x14ac:dyDescent="0.25">
      <c r="A72" s="8">
        <f t="shared" si="0"/>
        <v>60</v>
      </c>
      <c r="B72" s="23" t="s">
        <v>174</v>
      </c>
      <c r="C72" s="23"/>
      <c r="D72" s="17"/>
      <c r="E72" s="15"/>
      <c r="F72" s="12" t="s">
        <v>175</v>
      </c>
      <c r="G72" s="8">
        <v>1960</v>
      </c>
      <c r="H72" s="8" t="s">
        <v>410</v>
      </c>
      <c r="I72" s="15" t="s">
        <v>128</v>
      </c>
      <c r="J72" s="15"/>
      <c r="K72" s="8"/>
      <c r="L72" s="8" t="s">
        <v>168</v>
      </c>
      <c r="M72" s="8" t="s">
        <v>118</v>
      </c>
      <c r="N72" s="13">
        <f t="shared" si="2"/>
        <v>362766000</v>
      </c>
      <c r="O72" s="15"/>
      <c r="P72" s="60" t="s">
        <v>53</v>
      </c>
    </row>
    <row r="73" spans="1:16" ht="23.25" customHeight="1" x14ac:dyDescent="0.25">
      <c r="A73" s="8">
        <f t="shared" si="0"/>
        <v>61</v>
      </c>
      <c r="B73" s="23" t="s">
        <v>176</v>
      </c>
      <c r="C73" s="23"/>
      <c r="D73" s="17"/>
      <c r="E73" s="15"/>
      <c r="F73" s="12">
        <v>1363</v>
      </c>
      <c r="G73" s="8">
        <v>1960</v>
      </c>
      <c r="H73" s="8" t="s">
        <v>411</v>
      </c>
      <c r="I73" s="15" t="s">
        <v>128</v>
      </c>
      <c r="J73" s="15"/>
      <c r="K73" s="8"/>
      <c r="L73" s="8" t="s">
        <v>168</v>
      </c>
      <c r="M73" s="8" t="s">
        <v>118</v>
      </c>
      <c r="N73" s="13">
        <f t="shared" si="2"/>
        <v>140389000</v>
      </c>
      <c r="O73" s="15"/>
      <c r="P73" s="60" t="s">
        <v>53</v>
      </c>
    </row>
    <row r="74" spans="1:16" ht="23.25" customHeight="1" x14ac:dyDescent="0.25">
      <c r="A74" s="8">
        <f t="shared" si="0"/>
        <v>62</v>
      </c>
      <c r="B74" s="23" t="s">
        <v>177</v>
      </c>
      <c r="C74" s="23"/>
      <c r="D74" s="17"/>
      <c r="E74" s="15"/>
      <c r="F74" s="12">
        <v>3805</v>
      </c>
      <c r="G74" s="8">
        <v>1960</v>
      </c>
      <c r="H74" s="8" t="s">
        <v>412</v>
      </c>
      <c r="I74" s="15" t="s">
        <v>128</v>
      </c>
      <c r="J74" s="15"/>
      <c r="K74" s="8"/>
      <c r="L74" s="8" t="s">
        <v>168</v>
      </c>
      <c r="M74" s="8" t="s">
        <v>118</v>
      </c>
      <c r="N74" s="13">
        <f t="shared" si="2"/>
        <v>391915000</v>
      </c>
      <c r="O74" s="15"/>
      <c r="P74" s="60" t="s">
        <v>53</v>
      </c>
    </row>
    <row r="75" spans="1:16" ht="23.25" customHeight="1" x14ac:dyDescent="0.25">
      <c r="A75" s="8">
        <f t="shared" ref="A75:A91" si="3">A74+1</f>
        <v>63</v>
      </c>
      <c r="B75" s="23" t="s">
        <v>178</v>
      </c>
      <c r="C75" s="23"/>
      <c r="D75" s="17"/>
      <c r="E75" s="15"/>
      <c r="F75" s="12">
        <v>1022.9</v>
      </c>
      <c r="G75" s="8">
        <v>1960</v>
      </c>
      <c r="H75" s="8" t="s">
        <v>413</v>
      </c>
      <c r="I75" s="15" t="s">
        <v>128</v>
      </c>
      <c r="J75" s="15"/>
      <c r="K75" s="8"/>
      <c r="L75" s="8" t="s">
        <v>168</v>
      </c>
      <c r="M75" s="8" t="s">
        <v>118</v>
      </c>
      <c r="N75" s="13">
        <f t="shared" si="2"/>
        <v>105358700</v>
      </c>
      <c r="O75" s="15"/>
      <c r="P75" s="60" t="s">
        <v>53</v>
      </c>
    </row>
    <row r="76" spans="1:16" ht="23.25" customHeight="1" x14ac:dyDescent="0.25">
      <c r="A76" s="8">
        <f t="shared" si="3"/>
        <v>64</v>
      </c>
      <c r="B76" s="23" t="s">
        <v>179</v>
      </c>
      <c r="C76" s="23"/>
      <c r="D76" s="17"/>
      <c r="E76" s="15"/>
      <c r="F76" s="12">
        <v>1669.5</v>
      </c>
      <c r="G76" s="8">
        <v>1960</v>
      </c>
      <c r="H76" s="8" t="s">
        <v>414</v>
      </c>
      <c r="I76" s="15" t="s">
        <v>128</v>
      </c>
      <c r="J76" s="15"/>
      <c r="K76" s="8"/>
      <c r="L76" s="8" t="s">
        <v>168</v>
      </c>
      <c r="M76" s="8" t="s">
        <v>118</v>
      </c>
      <c r="N76" s="13">
        <f t="shared" si="2"/>
        <v>171958500</v>
      </c>
      <c r="O76" s="15"/>
      <c r="P76" s="60" t="s">
        <v>53</v>
      </c>
    </row>
    <row r="77" spans="1:16" ht="23.25" customHeight="1" x14ac:dyDescent="0.25">
      <c r="A77" s="8">
        <f t="shared" si="3"/>
        <v>65</v>
      </c>
      <c r="B77" s="23" t="s">
        <v>180</v>
      </c>
      <c r="C77" s="23"/>
      <c r="D77" s="17"/>
      <c r="E77" s="15"/>
      <c r="F77" s="12">
        <v>3632.5</v>
      </c>
      <c r="G77" s="8">
        <v>1960</v>
      </c>
      <c r="H77" s="8" t="s">
        <v>415</v>
      </c>
      <c r="I77" s="15" t="s">
        <v>128</v>
      </c>
      <c r="J77" s="15"/>
      <c r="K77" s="8"/>
      <c r="L77" s="8" t="s">
        <v>168</v>
      </c>
      <c r="M77" s="8" t="s">
        <v>118</v>
      </c>
      <c r="N77" s="13">
        <f t="shared" si="2"/>
        <v>374147500</v>
      </c>
      <c r="O77" s="15"/>
      <c r="P77" s="60" t="s">
        <v>53</v>
      </c>
    </row>
    <row r="78" spans="1:16" ht="23.25" customHeight="1" x14ac:dyDescent="0.25">
      <c r="A78" s="8">
        <f t="shared" si="3"/>
        <v>66</v>
      </c>
      <c r="B78" s="23" t="s">
        <v>181</v>
      </c>
      <c r="C78" s="23"/>
      <c r="D78" s="17"/>
      <c r="E78" s="15"/>
      <c r="F78" s="12">
        <v>701</v>
      </c>
      <c r="G78" s="8">
        <v>1960</v>
      </c>
      <c r="H78" s="8" t="s">
        <v>416</v>
      </c>
      <c r="I78" s="15" t="s">
        <v>128</v>
      </c>
      <c r="J78" s="15"/>
      <c r="K78" s="8"/>
      <c r="L78" s="8" t="s">
        <v>168</v>
      </c>
      <c r="M78" s="8" t="s">
        <v>118</v>
      </c>
      <c r="N78" s="13">
        <f t="shared" si="2"/>
        <v>72203000</v>
      </c>
      <c r="O78" s="15"/>
      <c r="P78" s="60" t="s">
        <v>53</v>
      </c>
    </row>
    <row r="79" spans="1:16" ht="23.25" customHeight="1" x14ac:dyDescent="0.25">
      <c r="A79" s="8">
        <f t="shared" si="3"/>
        <v>67</v>
      </c>
      <c r="B79" s="23" t="s">
        <v>182</v>
      </c>
      <c r="C79" s="23"/>
      <c r="D79" s="17"/>
      <c r="E79" s="15"/>
      <c r="F79" s="12">
        <v>1837.5</v>
      </c>
      <c r="G79" s="8">
        <v>1960</v>
      </c>
      <c r="H79" s="8" t="s">
        <v>442</v>
      </c>
      <c r="I79" s="15" t="s">
        <v>128</v>
      </c>
      <c r="J79" s="15"/>
      <c r="K79" s="8"/>
      <c r="L79" s="8" t="s">
        <v>168</v>
      </c>
      <c r="M79" s="8" t="s">
        <v>118</v>
      </c>
      <c r="N79" s="13">
        <f t="shared" si="2"/>
        <v>189262500</v>
      </c>
      <c r="O79" s="15"/>
      <c r="P79" s="60" t="s">
        <v>53</v>
      </c>
    </row>
    <row r="80" spans="1:16" ht="23.25" customHeight="1" x14ac:dyDescent="0.25">
      <c r="A80" s="8">
        <f t="shared" si="3"/>
        <v>68</v>
      </c>
      <c r="B80" s="23" t="s">
        <v>183</v>
      </c>
      <c r="C80" s="23"/>
      <c r="D80" s="17"/>
      <c r="E80" s="15"/>
      <c r="F80" s="12">
        <v>849.4</v>
      </c>
      <c r="G80" s="8">
        <v>1960</v>
      </c>
      <c r="H80" s="8" t="s">
        <v>443</v>
      </c>
      <c r="I80" s="15" t="s">
        <v>128</v>
      </c>
      <c r="J80" s="15"/>
      <c r="K80" s="8"/>
      <c r="L80" s="8" t="s">
        <v>168</v>
      </c>
      <c r="M80" s="8" t="s">
        <v>118</v>
      </c>
      <c r="N80" s="13">
        <f t="shared" si="2"/>
        <v>87488200</v>
      </c>
      <c r="O80" s="15"/>
      <c r="P80" s="60" t="s">
        <v>53</v>
      </c>
    </row>
    <row r="81" spans="1:16" ht="23.25" customHeight="1" x14ac:dyDescent="0.25">
      <c r="A81" s="8">
        <f t="shared" si="3"/>
        <v>69</v>
      </c>
      <c r="B81" s="23" t="s">
        <v>184</v>
      </c>
      <c r="C81" s="23"/>
      <c r="D81" s="17"/>
      <c r="E81" s="15"/>
      <c r="F81" s="12">
        <v>1584</v>
      </c>
      <c r="G81" s="8">
        <v>1960</v>
      </c>
      <c r="H81" s="8" t="s">
        <v>444</v>
      </c>
      <c r="I81" s="15" t="s">
        <v>128</v>
      </c>
      <c r="J81" s="15"/>
      <c r="K81" s="8"/>
      <c r="L81" s="8" t="s">
        <v>168</v>
      </c>
      <c r="M81" s="8" t="s">
        <v>118</v>
      </c>
      <c r="N81" s="13">
        <f t="shared" si="2"/>
        <v>163152000</v>
      </c>
      <c r="O81" s="15"/>
      <c r="P81" s="60" t="s">
        <v>53</v>
      </c>
    </row>
    <row r="82" spans="1:16" ht="27.75" customHeight="1" x14ac:dyDescent="0.25">
      <c r="A82" s="8">
        <f t="shared" si="3"/>
        <v>70</v>
      </c>
      <c r="B82" s="23" t="s">
        <v>185</v>
      </c>
      <c r="C82" s="23"/>
      <c r="D82" s="17"/>
      <c r="E82" s="15"/>
      <c r="F82" s="12">
        <v>1082</v>
      </c>
      <c r="G82" s="8">
        <v>1960</v>
      </c>
      <c r="H82" s="8" t="s">
        <v>445</v>
      </c>
      <c r="I82" s="15" t="s">
        <v>128</v>
      </c>
      <c r="J82" s="15"/>
      <c r="K82" s="8"/>
      <c r="L82" s="8" t="s">
        <v>168</v>
      </c>
      <c r="M82" s="8" t="s">
        <v>118</v>
      </c>
      <c r="N82" s="13">
        <f t="shared" si="2"/>
        <v>111446000</v>
      </c>
      <c r="O82" s="15"/>
      <c r="P82" s="60" t="s">
        <v>53</v>
      </c>
    </row>
    <row r="83" spans="1:16" ht="27.75" customHeight="1" x14ac:dyDescent="0.25">
      <c r="A83" s="8">
        <f t="shared" si="3"/>
        <v>71</v>
      </c>
      <c r="B83" s="23" t="s">
        <v>186</v>
      </c>
      <c r="C83" s="23"/>
      <c r="D83" s="17"/>
      <c r="E83" s="15"/>
      <c r="F83" s="12">
        <v>2375</v>
      </c>
      <c r="G83" s="8">
        <v>1960</v>
      </c>
      <c r="H83" s="8" t="s">
        <v>446</v>
      </c>
      <c r="I83" s="15" t="s">
        <v>128</v>
      </c>
      <c r="J83" s="15"/>
      <c r="K83" s="8"/>
      <c r="L83" s="8" t="s">
        <v>168</v>
      </c>
      <c r="M83" s="8" t="s">
        <v>118</v>
      </c>
      <c r="N83" s="13">
        <f t="shared" si="2"/>
        <v>244625000</v>
      </c>
      <c r="O83" s="15"/>
      <c r="P83" s="60" t="s">
        <v>53</v>
      </c>
    </row>
    <row r="84" spans="1:16" ht="27.75" customHeight="1" x14ac:dyDescent="0.25">
      <c r="A84" s="8">
        <f t="shared" si="3"/>
        <v>72</v>
      </c>
      <c r="B84" s="23" t="s">
        <v>187</v>
      </c>
      <c r="C84" s="23"/>
      <c r="D84" s="17"/>
      <c r="E84" s="15"/>
      <c r="F84" s="12">
        <v>1195.5</v>
      </c>
      <c r="G84" s="8">
        <v>1960</v>
      </c>
      <c r="H84" s="8" t="s">
        <v>447</v>
      </c>
      <c r="I84" s="15" t="s">
        <v>128</v>
      </c>
      <c r="J84" s="15"/>
      <c r="K84" s="8"/>
      <c r="L84" s="8" t="s">
        <v>168</v>
      </c>
      <c r="M84" s="8" t="s">
        <v>118</v>
      </c>
      <c r="N84" s="13">
        <f t="shared" si="2"/>
        <v>123136500</v>
      </c>
      <c r="O84" s="15"/>
      <c r="P84" s="60" t="s">
        <v>53</v>
      </c>
    </row>
    <row r="85" spans="1:16" ht="27.75" customHeight="1" x14ac:dyDescent="0.25">
      <c r="A85" s="8">
        <f t="shared" si="3"/>
        <v>73</v>
      </c>
      <c r="B85" s="23" t="s">
        <v>188</v>
      </c>
      <c r="C85" s="23"/>
      <c r="D85" s="17"/>
      <c r="E85" s="15"/>
      <c r="F85" s="12">
        <v>1111.5</v>
      </c>
      <c r="G85" s="8">
        <v>1960</v>
      </c>
      <c r="H85" s="8" t="s">
        <v>448</v>
      </c>
      <c r="I85" s="15" t="s">
        <v>128</v>
      </c>
      <c r="J85" s="15"/>
      <c r="K85" s="8"/>
      <c r="L85" s="8" t="s">
        <v>168</v>
      </c>
      <c r="M85" s="8" t="s">
        <v>118</v>
      </c>
      <c r="N85" s="13">
        <f t="shared" si="2"/>
        <v>114484500</v>
      </c>
      <c r="O85" s="15"/>
      <c r="P85" s="60" t="s">
        <v>53</v>
      </c>
    </row>
    <row r="86" spans="1:16" ht="27.75" customHeight="1" x14ac:dyDescent="0.25">
      <c r="A86" s="8">
        <f t="shared" si="3"/>
        <v>74</v>
      </c>
      <c r="B86" s="23" t="s">
        <v>189</v>
      </c>
      <c r="C86" s="23"/>
      <c r="D86" s="17"/>
      <c r="E86" s="15"/>
      <c r="F86" s="12">
        <v>1845</v>
      </c>
      <c r="G86" s="8">
        <v>1960</v>
      </c>
      <c r="H86" s="8" t="s">
        <v>449</v>
      </c>
      <c r="I86" s="15" t="s">
        <v>128</v>
      </c>
      <c r="J86" s="15"/>
      <c r="K86" s="8"/>
      <c r="L86" s="8" t="s">
        <v>168</v>
      </c>
      <c r="M86" s="8" t="s">
        <v>118</v>
      </c>
      <c r="N86" s="13">
        <f t="shared" si="2"/>
        <v>190035000</v>
      </c>
      <c r="O86" s="15"/>
      <c r="P86" s="60" t="s">
        <v>53</v>
      </c>
    </row>
    <row r="87" spans="1:16" ht="27.75" customHeight="1" x14ac:dyDescent="0.25">
      <c r="A87" s="8">
        <f t="shared" si="3"/>
        <v>75</v>
      </c>
      <c r="B87" s="23" t="s">
        <v>190</v>
      </c>
      <c r="C87" s="23"/>
      <c r="D87" s="17"/>
      <c r="E87" s="15"/>
      <c r="F87" s="12">
        <v>1270</v>
      </c>
      <c r="G87" s="8">
        <v>1960</v>
      </c>
      <c r="H87" s="8" t="s">
        <v>450</v>
      </c>
      <c r="I87" s="15" t="s">
        <v>128</v>
      </c>
      <c r="J87" s="15"/>
      <c r="K87" s="8"/>
      <c r="L87" s="8" t="s">
        <v>168</v>
      </c>
      <c r="M87" s="8" t="s">
        <v>118</v>
      </c>
      <c r="N87" s="13">
        <f t="shared" si="2"/>
        <v>130810000</v>
      </c>
      <c r="O87" s="15"/>
      <c r="P87" s="60" t="s">
        <v>53</v>
      </c>
    </row>
    <row r="88" spans="1:16" ht="27.75" customHeight="1" x14ac:dyDescent="0.25">
      <c r="A88" s="8">
        <f t="shared" si="3"/>
        <v>76</v>
      </c>
      <c r="B88" s="23" t="s">
        <v>191</v>
      </c>
      <c r="C88" s="23"/>
      <c r="D88" s="17"/>
      <c r="E88" s="15"/>
      <c r="F88" s="12">
        <v>435</v>
      </c>
      <c r="G88" s="8">
        <v>1960</v>
      </c>
      <c r="H88" s="8" t="s">
        <v>451</v>
      </c>
      <c r="I88" s="15" t="s">
        <v>128</v>
      </c>
      <c r="J88" s="15"/>
      <c r="K88" s="8"/>
      <c r="L88" s="8" t="s">
        <v>168</v>
      </c>
      <c r="M88" s="8" t="s">
        <v>118</v>
      </c>
      <c r="N88" s="13">
        <f t="shared" si="2"/>
        <v>44805000</v>
      </c>
      <c r="O88" s="15"/>
      <c r="P88" s="60" t="s">
        <v>53</v>
      </c>
    </row>
    <row r="89" spans="1:16" ht="27.75" customHeight="1" x14ac:dyDescent="0.25">
      <c r="A89" s="8">
        <f t="shared" si="3"/>
        <v>77</v>
      </c>
      <c r="B89" s="23" t="s">
        <v>192</v>
      </c>
      <c r="C89" s="23"/>
      <c r="D89" s="17"/>
      <c r="E89" s="15"/>
      <c r="F89" s="12">
        <v>158.4</v>
      </c>
      <c r="G89" s="8">
        <v>1960</v>
      </c>
      <c r="H89" s="8" t="s">
        <v>452</v>
      </c>
      <c r="I89" s="15" t="s">
        <v>128</v>
      </c>
      <c r="J89" s="15"/>
      <c r="K89" s="8"/>
      <c r="L89" s="8" t="s">
        <v>168</v>
      </c>
      <c r="M89" s="8" t="s">
        <v>118</v>
      </c>
      <c r="N89" s="13">
        <f t="shared" si="2"/>
        <v>16315200</v>
      </c>
      <c r="O89" s="15"/>
      <c r="P89" s="60" t="s">
        <v>53</v>
      </c>
    </row>
    <row r="90" spans="1:16" ht="27.75" customHeight="1" x14ac:dyDescent="0.25">
      <c r="A90" s="8">
        <f t="shared" si="3"/>
        <v>78</v>
      </c>
      <c r="B90" s="23" t="s">
        <v>193</v>
      </c>
      <c r="C90" s="23"/>
      <c r="D90" s="17"/>
      <c r="E90" s="15"/>
      <c r="F90" s="12">
        <v>1383</v>
      </c>
      <c r="G90" s="8">
        <v>1960</v>
      </c>
      <c r="H90" s="8" t="s">
        <v>453</v>
      </c>
      <c r="I90" s="15" t="s">
        <v>128</v>
      </c>
      <c r="J90" s="15"/>
      <c r="K90" s="8"/>
      <c r="L90" s="8" t="s">
        <v>168</v>
      </c>
      <c r="M90" s="8" t="s">
        <v>118</v>
      </c>
      <c r="N90" s="13">
        <f t="shared" si="2"/>
        <v>142449000</v>
      </c>
      <c r="O90" s="15"/>
      <c r="P90" s="60" t="s">
        <v>53</v>
      </c>
    </row>
    <row r="91" spans="1:16" ht="27.75" customHeight="1" x14ac:dyDescent="0.25">
      <c r="A91" s="8">
        <f t="shared" si="3"/>
        <v>79</v>
      </c>
      <c r="B91" s="23" t="s">
        <v>194</v>
      </c>
      <c r="C91" s="23"/>
      <c r="D91" s="17"/>
      <c r="E91" s="15"/>
      <c r="F91" s="12">
        <v>2693</v>
      </c>
      <c r="G91" s="8">
        <v>1960</v>
      </c>
      <c r="H91" s="8" t="s">
        <v>454</v>
      </c>
      <c r="I91" s="15" t="s">
        <v>128</v>
      </c>
      <c r="J91" s="15"/>
      <c r="K91" s="8"/>
      <c r="L91" s="8" t="s">
        <v>168</v>
      </c>
      <c r="M91" s="8" t="s">
        <v>118</v>
      </c>
      <c r="N91" s="13">
        <f t="shared" si="2"/>
        <v>277379000</v>
      </c>
      <c r="O91" s="15"/>
      <c r="P91" s="60" t="s">
        <v>53</v>
      </c>
    </row>
    <row r="92" spans="1:16" ht="27.75" customHeight="1" x14ac:dyDescent="0.25">
      <c r="A92" s="145" t="s">
        <v>195</v>
      </c>
      <c r="B92" s="146"/>
      <c r="C92" s="145"/>
      <c r="D92" s="146"/>
      <c r="E92" s="147"/>
      <c r="F92" s="148"/>
      <c r="G92" s="148"/>
      <c r="H92" s="147"/>
      <c r="I92" s="147"/>
      <c r="J92" s="147"/>
      <c r="K92" s="148"/>
      <c r="L92" s="148"/>
      <c r="M92" s="147"/>
      <c r="N92" s="149">
        <f>SUM(N13:N91)</f>
        <v>28670245600</v>
      </c>
      <c r="O92" s="150"/>
      <c r="P92" s="60"/>
    </row>
    <row r="93" spans="1:16" x14ac:dyDescent="0.25">
      <c r="A93" s="3"/>
      <c r="B93" s="3"/>
      <c r="C93" s="3"/>
      <c r="D93" s="3"/>
      <c r="E93" s="3"/>
      <c r="F93" s="4"/>
      <c r="G93" s="4"/>
      <c r="H93" s="3"/>
      <c r="I93" s="3"/>
      <c r="J93" s="3"/>
      <c r="K93" s="4"/>
      <c r="L93" s="4"/>
      <c r="M93" s="3"/>
      <c r="N93" s="3"/>
      <c r="O93" s="3"/>
    </row>
    <row r="94" spans="1:16" x14ac:dyDescent="0.25">
      <c r="A94" s="3"/>
      <c r="B94" s="3"/>
      <c r="C94" s="3"/>
      <c r="D94" s="3"/>
      <c r="E94" s="3"/>
      <c r="F94" s="4"/>
      <c r="G94" s="4"/>
      <c r="H94" s="3"/>
      <c r="I94" s="3"/>
      <c r="J94" s="3"/>
      <c r="K94" s="4"/>
      <c r="L94" s="4"/>
      <c r="M94" s="3"/>
      <c r="N94" s="3"/>
      <c r="O94" s="3"/>
    </row>
    <row r="95" spans="1:16" x14ac:dyDescent="0.25">
      <c r="A95" s="3"/>
      <c r="B95" s="3"/>
      <c r="C95" s="3"/>
      <c r="D95" s="3"/>
      <c r="E95" s="3"/>
      <c r="F95" s="4"/>
      <c r="G95" s="4"/>
      <c r="H95" s="3"/>
      <c r="I95" s="3"/>
      <c r="J95" s="3"/>
      <c r="K95" s="4"/>
      <c r="L95" s="4"/>
      <c r="M95" s="3"/>
      <c r="O95" s="3"/>
    </row>
    <row r="96" spans="1:16" x14ac:dyDescent="0.25">
      <c r="A96" s="3"/>
      <c r="B96" s="3"/>
      <c r="C96" s="3"/>
      <c r="D96" s="3"/>
      <c r="E96" s="3"/>
      <c r="F96" s="4"/>
      <c r="G96" s="4"/>
      <c r="H96" s="3"/>
      <c r="I96" s="3"/>
      <c r="J96" s="3"/>
      <c r="K96" s="4"/>
      <c r="L96" s="4"/>
      <c r="M96" s="3"/>
      <c r="N96" s="4" t="s">
        <v>746</v>
      </c>
      <c r="O96" s="3"/>
    </row>
    <row r="97" spans="1:15" x14ac:dyDescent="0.25">
      <c r="A97" s="3"/>
      <c r="B97" s="4" t="s">
        <v>196</v>
      </c>
      <c r="C97" s="3"/>
      <c r="D97" s="3"/>
      <c r="E97" s="3"/>
      <c r="F97" s="4"/>
      <c r="G97" s="4"/>
      <c r="H97" s="3"/>
      <c r="I97" s="3"/>
      <c r="J97" s="3"/>
      <c r="K97" s="4"/>
      <c r="L97" s="4"/>
      <c r="M97" s="3"/>
      <c r="N97" s="3"/>
      <c r="O97" s="3"/>
    </row>
    <row r="98" spans="1:15" x14ac:dyDescent="0.25">
      <c r="A98" s="3"/>
      <c r="B98" s="4" t="s">
        <v>395</v>
      </c>
      <c r="C98" s="3"/>
      <c r="D98" s="3"/>
      <c r="E98" s="3"/>
      <c r="F98" s="4"/>
      <c r="G98" s="4"/>
      <c r="H98" s="3"/>
      <c r="I98" s="3"/>
      <c r="J98" s="3"/>
      <c r="K98" s="4"/>
      <c r="L98" s="4"/>
      <c r="M98" s="3"/>
      <c r="N98" s="4" t="s">
        <v>197</v>
      </c>
      <c r="O98" s="3"/>
    </row>
    <row r="99" spans="1:15" x14ac:dyDescent="0.25">
      <c r="A99" s="3"/>
      <c r="B99" s="4"/>
      <c r="C99" s="3"/>
      <c r="D99" s="3"/>
      <c r="E99" s="3"/>
      <c r="F99" s="4"/>
      <c r="G99" s="4"/>
      <c r="H99" s="3"/>
      <c r="I99" s="3"/>
      <c r="J99" s="3"/>
      <c r="K99" s="4"/>
      <c r="L99" s="4"/>
      <c r="M99" s="3"/>
      <c r="N99" s="4"/>
      <c r="O99" s="3"/>
    </row>
    <row r="100" spans="1:15" x14ac:dyDescent="0.25">
      <c r="A100" s="3"/>
      <c r="B100" s="4"/>
      <c r="C100" s="3"/>
      <c r="D100" s="3"/>
      <c r="E100" s="3"/>
      <c r="F100" s="4"/>
      <c r="G100" s="4"/>
      <c r="H100" s="3"/>
      <c r="I100" s="3"/>
      <c r="J100" s="3"/>
      <c r="K100" s="4"/>
      <c r="L100" s="4"/>
      <c r="M100" s="3"/>
      <c r="N100" s="4"/>
      <c r="O100" s="3"/>
    </row>
    <row r="101" spans="1:15" x14ac:dyDescent="0.25">
      <c r="A101" s="3"/>
      <c r="B101" s="4"/>
      <c r="C101" s="3"/>
      <c r="D101" s="3"/>
      <c r="E101" s="3"/>
      <c r="F101" s="4"/>
      <c r="G101" s="4"/>
      <c r="H101" s="3"/>
      <c r="I101" s="3"/>
      <c r="J101" s="3"/>
      <c r="K101" s="4"/>
      <c r="L101" s="4"/>
      <c r="M101" s="3"/>
      <c r="N101" s="4"/>
      <c r="O101" s="3"/>
    </row>
    <row r="102" spans="1:15" x14ac:dyDescent="0.25">
      <c r="A102" s="3"/>
      <c r="B102" s="4" t="s">
        <v>630</v>
      </c>
      <c r="C102" s="3"/>
      <c r="D102" s="3"/>
      <c r="E102" s="3"/>
      <c r="F102" s="4"/>
      <c r="G102" s="4"/>
      <c r="H102" s="3"/>
      <c r="I102" s="3"/>
      <c r="J102" s="3"/>
      <c r="K102" s="4"/>
      <c r="L102" s="4"/>
      <c r="M102" s="3"/>
      <c r="N102" s="4" t="s">
        <v>593</v>
      </c>
      <c r="O102" s="3"/>
    </row>
    <row r="103" spans="1:15" x14ac:dyDescent="0.25">
      <c r="A103" s="3"/>
      <c r="B103" s="3"/>
      <c r="C103" s="3"/>
      <c r="D103" s="3"/>
      <c r="E103" s="3"/>
      <c r="F103" s="4"/>
      <c r="G103" s="4"/>
      <c r="H103" s="3"/>
      <c r="I103" s="3"/>
      <c r="J103" s="3"/>
      <c r="K103" s="4"/>
      <c r="L103" s="4"/>
      <c r="M103" s="3"/>
      <c r="N103" s="3"/>
      <c r="O103" s="3"/>
    </row>
    <row r="104" spans="1:15" x14ac:dyDescent="0.25">
      <c r="A104" s="3"/>
      <c r="B104" s="3"/>
      <c r="C104" s="3"/>
      <c r="D104" s="3"/>
      <c r="E104" s="3"/>
      <c r="F104" s="4"/>
      <c r="G104" s="4"/>
      <c r="H104" s="3"/>
      <c r="I104" s="3"/>
      <c r="J104" s="3"/>
      <c r="K104" s="4"/>
      <c r="L104" s="4"/>
      <c r="M104" s="3"/>
      <c r="N104" s="3"/>
      <c r="O104" s="3"/>
    </row>
    <row r="105" spans="1:15" x14ac:dyDescent="0.25">
      <c r="A105" s="3"/>
      <c r="B105" s="3"/>
      <c r="C105" s="3"/>
      <c r="D105" s="3"/>
      <c r="E105" s="3"/>
      <c r="F105" s="4"/>
      <c r="G105" s="4"/>
      <c r="H105" s="3"/>
      <c r="I105" s="3"/>
      <c r="J105" s="3"/>
      <c r="K105" s="4"/>
      <c r="L105" s="4"/>
      <c r="M105" s="3"/>
      <c r="N105" s="3"/>
      <c r="O105" s="3"/>
    </row>
  </sheetData>
  <mergeCells count="20">
    <mergeCell ref="C12:D12"/>
    <mergeCell ref="C41:D41"/>
    <mergeCell ref="N9:N11"/>
    <mergeCell ref="O9:O11"/>
    <mergeCell ref="C10:D11"/>
    <mergeCell ref="E10:E11"/>
    <mergeCell ref="I10:I11"/>
    <mergeCell ref="J10:K10"/>
    <mergeCell ref="H9:H11"/>
    <mergeCell ref="I9:K9"/>
    <mergeCell ref="L9:L11"/>
    <mergeCell ref="M9:M11"/>
    <mergeCell ref="A2:P2"/>
    <mergeCell ref="A3:P3"/>
    <mergeCell ref="P9:P11"/>
    <mergeCell ref="A9:A11"/>
    <mergeCell ref="B9:B11"/>
    <mergeCell ref="C9:E9"/>
    <mergeCell ref="F9:F11"/>
    <mergeCell ref="G9:G11"/>
  </mergeCells>
  <printOptions horizontalCentered="1"/>
  <pageMargins left="0.39370078740157483" right="0.39370078740157483" top="0.98425196850393704" bottom="0.39370078740157483" header="0.31496062992125984" footer="0.31496062992125984"/>
  <pageSetup paperSize="10000"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W125"/>
  <sheetViews>
    <sheetView view="pageBreakPreview" topLeftCell="C10" zoomScale="89" zoomScaleNormal="90" zoomScaleSheetLayoutView="89" workbookViewId="0">
      <pane ySplit="1095" topLeftCell="A100" activePane="bottomLeft"/>
      <selection activeCell="Q10" sqref="Q10:Q11"/>
      <selection pane="bottomLeft" activeCell="S114" sqref="S114"/>
    </sheetView>
  </sheetViews>
  <sheetFormatPr defaultRowHeight="15" x14ac:dyDescent="0.25"/>
  <cols>
    <col min="2" max="2" width="27.85546875" customWidth="1"/>
    <col min="3" max="3" width="16.140625" customWidth="1"/>
    <col min="10" max="10" width="10.42578125" style="73" bestFit="1" customWidth="1"/>
    <col min="16" max="16" width="13.85546875" customWidth="1"/>
    <col min="19" max="19" width="29.28515625" style="73" customWidth="1"/>
  </cols>
  <sheetData>
    <row r="2" spans="1:23" ht="15.75" customHeight="1" x14ac:dyDescent="0.25">
      <c r="A2" s="584" t="s">
        <v>299</v>
      </c>
      <c r="B2" s="584"/>
      <c r="C2" s="584"/>
      <c r="D2" s="584"/>
      <c r="E2" s="584"/>
      <c r="F2" s="584"/>
      <c r="G2" s="584"/>
      <c r="H2" s="584"/>
      <c r="I2" s="584"/>
      <c r="J2" s="584"/>
      <c r="K2" s="584"/>
      <c r="L2" s="584"/>
      <c r="M2" s="584"/>
      <c r="N2" s="584"/>
      <c r="O2" s="584"/>
      <c r="P2" s="584"/>
      <c r="Q2" s="584"/>
      <c r="R2" s="584"/>
      <c r="S2" s="584"/>
      <c r="T2" s="25"/>
      <c r="U2" s="25"/>
      <c r="V2" s="25"/>
      <c r="W2" s="25"/>
    </row>
    <row r="3" spans="1:23" ht="15.75" x14ac:dyDescent="0.25">
      <c r="A3" s="579" t="s">
        <v>198</v>
      </c>
      <c r="B3" s="579"/>
      <c r="C3" s="579"/>
      <c r="D3" s="579"/>
      <c r="E3" s="579"/>
      <c r="F3" s="579"/>
      <c r="G3" s="579"/>
      <c r="H3" s="579"/>
      <c r="I3" s="579"/>
      <c r="J3" s="579"/>
      <c r="K3" s="579"/>
      <c r="L3" s="579"/>
      <c r="M3" s="579"/>
      <c r="N3" s="579"/>
      <c r="O3" s="579"/>
      <c r="P3" s="579"/>
      <c r="Q3" s="579"/>
      <c r="R3" s="579"/>
      <c r="S3" s="579"/>
      <c r="T3" s="25"/>
      <c r="U3" s="25"/>
      <c r="V3" s="25"/>
      <c r="W3" s="25"/>
    </row>
    <row r="4" spans="1:23" ht="15.75" x14ac:dyDescent="0.25">
      <c r="A4" s="26"/>
      <c r="B4" s="31" t="s">
        <v>105</v>
      </c>
      <c r="C4" s="31" t="s">
        <v>396</v>
      </c>
      <c r="D4" s="31"/>
      <c r="E4" s="32"/>
      <c r="F4" s="26"/>
      <c r="G4" s="26"/>
      <c r="H4" s="27"/>
      <c r="I4" s="27"/>
      <c r="J4" s="207"/>
      <c r="K4" s="26"/>
      <c r="L4" s="26"/>
      <c r="M4" s="26"/>
      <c r="N4" s="26"/>
      <c r="O4" s="26"/>
      <c r="P4" s="29"/>
      <c r="Q4" s="26"/>
      <c r="R4" s="26"/>
      <c r="S4" s="74"/>
      <c r="T4" s="25"/>
      <c r="U4" s="25"/>
      <c r="V4" s="25"/>
      <c r="W4" s="25"/>
    </row>
    <row r="5" spans="1:23" ht="15.75" x14ac:dyDescent="0.25">
      <c r="A5" s="26"/>
      <c r="B5" s="31" t="s">
        <v>107</v>
      </c>
      <c r="C5" s="31" t="s">
        <v>397</v>
      </c>
      <c r="D5" s="31"/>
      <c r="E5" s="32"/>
      <c r="F5" s="26"/>
      <c r="G5" s="26"/>
      <c r="H5" s="27"/>
      <c r="I5" s="27"/>
      <c r="J5" s="207"/>
      <c r="K5" s="26"/>
      <c r="L5" s="26"/>
      <c r="M5" s="26"/>
      <c r="N5" s="26"/>
      <c r="O5" s="26"/>
      <c r="P5" s="29"/>
      <c r="Q5" s="26"/>
      <c r="R5" s="26"/>
      <c r="S5" s="74"/>
      <c r="T5" s="25"/>
      <c r="U5" s="25"/>
      <c r="V5" s="25"/>
      <c r="W5" s="25"/>
    </row>
    <row r="6" spans="1:23" ht="15.75" x14ac:dyDescent="0.25">
      <c r="A6" s="26"/>
      <c r="B6" s="31" t="s">
        <v>108</v>
      </c>
      <c r="C6" s="31" t="s">
        <v>398</v>
      </c>
      <c r="D6" s="31"/>
      <c r="E6" s="32"/>
      <c r="F6" s="26"/>
      <c r="G6" s="26"/>
      <c r="H6" s="27"/>
      <c r="I6" s="27"/>
      <c r="J6" s="207"/>
      <c r="K6" s="26"/>
      <c r="L6" s="26"/>
      <c r="M6" s="26"/>
      <c r="N6" s="26"/>
      <c r="O6" s="26"/>
      <c r="P6" s="29"/>
      <c r="Q6" s="26"/>
      <c r="R6" s="26"/>
      <c r="S6" s="74"/>
      <c r="T6" s="25"/>
      <c r="U6" s="25"/>
      <c r="V6" s="25"/>
      <c r="W6" s="25"/>
    </row>
    <row r="7" spans="1:23" ht="15.75" x14ac:dyDescent="0.25">
      <c r="A7" s="26"/>
      <c r="B7" s="31" t="s">
        <v>109</v>
      </c>
      <c r="C7" s="31" t="s">
        <v>398</v>
      </c>
      <c r="D7" s="31"/>
      <c r="E7" s="32"/>
      <c r="F7" s="26"/>
      <c r="G7" s="26"/>
      <c r="H7" s="27"/>
      <c r="I7" s="27"/>
      <c r="J7" s="207"/>
      <c r="K7" s="26"/>
      <c r="L7" s="26"/>
      <c r="M7" s="26"/>
      <c r="N7" s="26"/>
      <c r="O7" s="26"/>
      <c r="P7" s="29"/>
      <c r="Q7" s="26"/>
      <c r="R7" s="26"/>
      <c r="S7" s="74"/>
      <c r="T7" s="25"/>
      <c r="U7" s="25"/>
      <c r="V7" s="25"/>
      <c r="W7" s="25"/>
    </row>
    <row r="10" spans="1:23" x14ac:dyDescent="0.25">
      <c r="A10" s="578" t="s">
        <v>110</v>
      </c>
      <c r="B10" s="577" t="s">
        <v>201</v>
      </c>
      <c r="C10" s="578"/>
      <c r="D10" s="587" t="s">
        <v>202</v>
      </c>
      <c r="E10" s="578" t="s">
        <v>112</v>
      </c>
      <c r="F10" s="578"/>
      <c r="G10" s="590" t="s">
        <v>203</v>
      </c>
      <c r="H10" s="590" t="s">
        <v>204</v>
      </c>
      <c r="I10" s="578" t="s">
        <v>205</v>
      </c>
      <c r="J10" s="585" t="s">
        <v>206</v>
      </c>
      <c r="K10" s="578"/>
      <c r="L10" s="578"/>
      <c r="M10" s="578"/>
      <c r="N10" s="578"/>
      <c r="O10" s="577" t="s">
        <v>207</v>
      </c>
      <c r="P10" s="577" t="s">
        <v>119</v>
      </c>
      <c r="Q10" s="590" t="s">
        <v>208</v>
      </c>
      <c r="R10" s="578" t="s">
        <v>120</v>
      </c>
      <c r="S10" s="567" t="s">
        <v>269</v>
      </c>
      <c r="T10" s="25"/>
      <c r="U10" s="25"/>
      <c r="V10" s="25"/>
      <c r="W10" s="25"/>
    </row>
    <row r="11" spans="1:23" x14ac:dyDescent="0.25">
      <c r="A11" s="578"/>
      <c r="B11" s="578"/>
      <c r="C11" s="578"/>
      <c r="D11" s="588"/>
      <c r="E11" s="33" t="s">
        <v>121</v>
      </c>
      <c r="F11" s="33" t="s">
        <v>122</v>
      </c>
      <c r="G11" s="591"/>
      <c r="H11" s="591"/>
      <c r="I11" s="578"/>
      <c r="J11" s="586"/>
      <c r="K11" s="33" t="s">
        <v>209</v>
      </c>
      <c r="L11" s="33" t="s">
        <v>210</v>
      </c>
      <c r="M11" s="33" t="s">
        <v>211</v>
      </c>
      <c r="N11" s="33" t="s">
        <v>212</v>
      </c>
      <c r="O11" s="578"/>
      <c r="P11" s="578"/>
      <c r="Q11" s="591"/>
      <c r="R11" s="578"/>
      <c r="S11" s="568"/>
      <c r="T11" s="25"/>
      <c r="U11" s="25"/>
      <c r="V11" s="25"/>
      <c r="W11" s="25"/>
    </row>
    <row r="12" spans="1:23" x14ac:dyDescent="0.25">
      <c r="A12" s="34" t="s">
        <v>213</v>
      </c>
      <c r="B12" s="589" t="s">
        <v>214</v>
      </c>
      <c r="C12" s="589"/>
      <c r="D12" s="34">
        <v>3</v>
      </c>
      <c r="E12" s="34">
        <v>4</v>
      </c>
      <c r="F12" s="34" t="s">
        <v>215</v>
      </c>
      <c r="G12" s="34" t="s">
        <v>216</v>
      </c>
      <c r="H12" s="34" t="s">
        <v>217</v>
      </c>
      <c r="I12" s="34" t="s">
        <v>218</v>
      </c>
      <c r="J12" s="208" t="s">
        <v>219</v>
      </c>
      <c r="K12" s="34" t="s">
        <v>220</v>
      </c>
      <c r="L12" s="34" t="s">
        <v>221</v>
      </c>
      <c r="M12" s="34" t="s">
        <v>222</v>
      </c>
      <c r="N12" s="34" t="s">
        <v>223</v>
      </c>
      <c r="O12" s="34" t="s">
        <v>224</v>
      </c>
      <c r="P12" s="35">
        <v>16</v>
      </c>
      <c r="Q12" s="34">
        <v>17</v>
      </c>
      <c r="R12" s="34">
        <v>18</v>
      </c>
      <c r="S12" s="569"/>
      <c r="T12" s="25"/>
      <c r="U12" s="25"/>
      <c r="V12" s="25"/>
      <c r="W12" s="25"/>
    </row>
    <row r="13" spans="1:23" x14ac:dyDescent="0.25">
      <c r="A13" s="36">
        <v>1</v>
      </c>
      <c r="B13" s="532" t="s">
        <v>225</v>
      </c>
      <c r="C13" s="533"/>
      <c r="D13" s="36">
        <v>14</v>
      </c>
      <c r="E13" s="37"/>
      <c r="F13" s="37"/>
      <c r="G13" s="37"/>
      <c r="H13" s="36"/>
      <c r="I13" s="36" t="s">
        <v>226</v>
      </c>
      <c r="J13" s="209" t="s">
        <v>420</v>
      </c>
      <c r="K13" s="37"/>
      <c r="L13" s="37"/>
      <c r="M13" s="37"/>
      <c r="N13" s="37"/>
      <c r="O13" s="37" t="s">
        <v>227</v>
      </c>
      <c r="P13" s="278">
        <v>5500000</v>
      </c>
      <c r="Q13" s="36" t="s">
        <v>228</v>
      </c>
      <c r="R13" s="37"/>
      <c r="S13" s="368" t="s">
        <v>6</v>
      </c>
      <c r="T13" s="28"/>
      <c r="U13" s="45"/>
      <c r="V13" s="45"/>
      <c r="W13" s="25"/>
    </row>
    <row r="14" spans="1:23" x14ac:dyDescent="0.25">
      <c r="A14" s="225">
        <f>A13+1</f>
        <v>2</v>
      </c>
      <c r="B14" s="526" t="s">
        <v>456</v>
      </c>
      <c r="C14" s="527"/>
      <c r="D14" s="225">
        <v>5</v>
      </c>
      <c r="E14" s="227"/>
      <c r="F14" s="227"/>
      <c r="G14" s="227"/>
      <c r="H14" s="225"/>
      <c r="I14" s="225" t="s">
        <v>231</v>
      </c>
      <c r="J14" s="228" t="s">
        <v>457</v>
      </c>
      <c r="K14" s="227"/>
      <c r="L14" s="227"/>
      <c r="M14" s="227"/>
      <c r="N14" s="227"/>
      <c r="O14" s="227" t="s">
        <v>227</v>
      </c>
      <c r="P14" s="279">
        <v>1500000</v>
      </c>
      <c r="Q14" s="225" t="s">
        <v>228</v>
      </c>
      <c r="R14" s="227"/>
      <c r="S14" s="368" t="s">
        <v>6</v>
      </c>
      <c r="T14" s="116"/>
      <c r="U14" s="45"/>
      <c r="V14" s="45"/>
      <c r="W14" s="105"/>
    </row>
    <row r="15" spans="1:23" x14ac:dyDescent="0.25">
      <c r="A15" s="225">
        <f>A14+1</f>
        <v>3</v>
      </c>
      <c r="B15" s="526" t="s">
        <v>458</v>
      </c>
      <c r="C15" s="527"/>
      <c r="D15" s="225">
        <v>4</v>
      </c>
      <c r="E15" s="227"/>
      <c r="F15" s="227"/>
      <c r="G15" s="227"/>
      <c r="H15" s="225"/>
      <c r="I15" s="225" t="s">
        <v>226</v>
      </c>
      <c r="J15" s="228">
        <v>2015</v>
      </c>
      <c r="K15" s="227"/>
      <c r="L15" s="227"/>
      <c r="M15" s="227"/>
      <c r="N15" s="227"/>
      <c r="O15" s="227" t="s">
        <v>227</v>
      </c>
      <c r="P15" s="279">
        <v>2000000</v>
      </c>
      <c r="Q15" s="225" t="s">
        <v>349</v>
      </c>
      <c r="R15" s="227"/>
      <c r="S15" s="368" t="s">
        <v>6</v>
      </c>
      <c r="T15" s="116"/>
      <c r="U15" s="45"/>
      <c r="V15" s="45"/>
      <c r="W15" s="105"/>
    </row>
    <row r="16" spans="1:23" x14ac:dyDescent="0.25">
      <c r="A16" s="225">
        <f>A15+1</f>
        <v>4</v>
      </c>
      <c r="B16" s="226" t="s">
        <v>459</v>
      </c>
      <c r="C16" s="226"/>
      <c r="D16" s="225">
        <v>1</v>
      </c>
      <c r="E16" s="227"/>
      <c r="F16" s="227"/>
      <c r="G16" s="227"/>
      <c r="H16" s="225"/>
      <c r="I16" s="225" t="s">
        <v>226</v>
      </c>
      <c r="J16" s="228">
        <v>2016</v>
      </c>
      <c r="K16" s="227"/>
      <c r="L16" s="227"/>
      <c r="M16" s="227"/>
      <c r="N16" s="227"/>
      <c r="O16" s="227" t="s">
        <v>227</v>
      </c>
      <c r="P16" s="279">
        <v>2500000</v>
      </c>
      <c r="Q16" s="225" t="s">
        <v>228</v>
      </c>
      <c r="R16" s="227"/>
      <c r="S16" s="368" t="s">
        <v>6</v>
      </c>
      <c r="T16" s="116"/>
      <c r="U16" s="45"/>
      <c r="V16" s="45"/>
      <c r="W16" s="105"/>
    </row>
    <row r="17" spans="1:23" x14ac:dyDescent="0.25">
      <c r="A17" s="225">
        <f>A16+1</f>
        <v>5</v>
      </c>
      <c r="B17" s="526" t="s">
        <v>229</v>
      </c>
      <c r="C17" s="527"/>
      <c r="D17" s="38">
        <v>3</v>
      </c>
      <c r="E17" s="39"/>
      <c r="F17" s="39"/>
      <c r="G17" s="39"/>
      <c r="H17" s="38"/>
      <c r="I17" s="38" t="s">
        <v>226</v>
      </c>
      <c r="J17" s="210">
        <v>2009</v>
      </c>
      <c r="K17" s="39"/>
      <c r="L17" s="39"/>
      <c r="M17" s="39"/>
      <c r="N17" s="39"/>
      <c r="O17" s="39" t="s">
        <v>227</v>
      </c>
      <c r="P17" s="280">
        <v>2500000</v>
      </c>
      <c r="Q17" s="38" t="s">
        <v>228</v>
      </c>
      <c r="R17" s="39"/>
      <c r="S17" s="368" t="s">
        <v>6</v>
      </c>
      <c r="T17" s="28"/>
      <c r="U17" s="45"/>
      <c r="V17" s="45"/>
      <c r="W17" s="25"/>
    </row>
    <row r="18" spans="1:23" ht="25.5" x14ac:dyDescent="0.25">
      <c r="A18" s="38">
        <f t="shared" ref="A18:A57" si="0">A17+1</f>
        <v>6</v>
      </c>
      <c r="B18" s="526" t="s">
        <v>230</v>
      </c>
      <c r="C18" s="527"/>
      <c r="D18" s="38">
        <v>1</v>
      </c>
      <c r="E18" s="39"/>
      <c r="F18" s="39"/>
      <c r="G18" s="224" t="s">
        <v>252</v>
      </c>
      <c r="H18" s="38" t="s">
        <v>429</v>
      </c>
      <c r="I18" s="38" t="s">
        <v>231</v>
      </c>
      <c r="J18" s="210">
        <v>2016</v>
      </c>
      <c r="K18" s="39"/>
      <c r="L18" s="39"/>
      <c r="M18" s="39"/>
      <c r="N18" s="39"/>
      <c r="O18" s="39" t="s">
        <v>227</v>
      </c>
      <c r="P18" s="280">
        <v>2000000</v>
      </c>
      <c r="Q18" s="38" t="s">
        <v>352</v>
      </c>
      <c r="R18" s="39"/>
      <c r="S18" s="368" t="s">
        <v>572</v>
      </c>
      <c r="T18" s="28"/>
      <c r="U18" s="45"/>
      <c r="V18" s="25"/>
      <c r="W18" s="25"/>
    </row>
    <row r="19" spans="1:23" ht="25.5" x14ac:dyDescent="0.25">
      <c r="A19" s="38">
        <f t="shared" si="0"/>
        <v>7</v>
      </c>
      <c r="B19" s="200" t="s">
        <v>430</v>
      </c>
      <c r="C19" s="200"/>
      <c r="D19" s="38">
        <v>1</v>
      </c>
      <c r="E19" s="201"/>
      <c r="F19" s="201"/>
      <c r="G19" s="224" t="s">
        <v>431</v>
      </c>
      <c r="H19" s="38"/>
      <c r="I19" s="38" t="s">
        <v>231</v>
      </c>
      <c r="J19" s="210">
        <v>2016</v>
      </c>
      <c r="K19" s="201"/>
      <c r="L19" s="201"/>
      <c r="M19" s="201"/>
      <c r="N19" s="201"/>
      <c r="O19" s="201" t="s">
        <v>227</v>
      </c>
      <c r="P19" s="280">
        <v>350000</v>
      </c>
      <c r="Q19" s="38" t="s">
        <v>349</v>
      </c>
      <c r="R19" s="201"/>
      <c r="S19" s="368" t="s">
        <v>572</v>
      </c>
      <c r="T19" s="116"/>
      <c r="U19" s="45"/>
      <c r="V19" s="105"/>
      <c r="W19" s="105"/>
    </row>
    <row r="20" spans="1:23" ht="25.5" x14ac:dyDescent="0.25">
      <c r="A20" s="38">
        <f t="shared" si="0"/>
        <v>8</v>
      </c>
      <c r="B20" s="526" t="s">
        <v>471</v>
      </c>
      <c r="C20" s="527"/>
      <c r="D20" s="38">
        <v>1</v>
      </c>
      <c r="E20" s="39"/>
      <c r="F20" s="39"/>
      <c r="G20" s="39" t="s">
        <v>232</v>
      </c>
      <c r="H20" s="38"/>
      <c r="I20" s="38" t="s">
        <v>231</v>
      </c>
      <c r="J20" s="210" t="s">
        <v>233</v>
      </c>
      <c r="K20" s="39"/>
      <c r="L20" s="39"/>
      <c r="M20" s="39"/>
      <c r="N20" s="39"/>
      <c r="O20" s="39" t="s">
        <v>227</v>
      </c>
      <c r="P20" s="280">
        <v>600000</v>
      </c>
      <c r="Q20" s="38" t="s">
        <v>228</v>
      </c>
      <c r="R20" s="39"/>
      <c r="S20" s="368" t="s">
        <v>572</v>
      </c>
      <c r="T20" s="28"/>
      <c r="U20" s="45"/>
      <c r="V20" s="25"/>
      <c r="W20" s="25"/>
    </row>
    <row r="21" spans="1:23" ht="25.5" x14ac:dyDescent="0.25">
      <c r="A21" s="38">
        <f t="shared" si="0"/>
        <v>9</v>
      </c>
      <c r="B21" s="526" t="s">
        <v>234</v>
      </c>
      <c r="C21" s="527"/>
      <c r="D21" s="38">
        <v>1</v>
      </c>
      <c r="E21" s="39"/>
      <c r="F21" s="39"/>
      <c r="G21" s="39" t="s">
        <v>421</v>
      </c>
      <c r="H21" s="38"/>
      <c r="I21" s="38" t="s">
        <v>231</v>
      </c>
      <c r="J21" s="210" t="s">
        <v>257</v>
      </c>
      <c r="K21" s="39"/>
      <c r="L21" s="39"/>
      <c r="M21" s="39"/>
      <c r="N21" s="39"/>
      <c r="O21" s="39" t="s">
        <v>227</v>
      </c>
      <c r="P21" s="280">
        <v>1300000</v>
      </c>
      <c r="Q21" s="38" t="s">
        <v>228</v>
      </c>
      <c r="R21" s="39"/>
      <c r="S21" s="368" t="s">
        <v>572</v>
      </c>
      <c r="T21" s="25"/>
      <c r="U21" s="45"/>
      <c r="V21" s="45"/>
      <c r="W21" s="25"/>
    </row>
    <row r="22" spans="1:23" ht="25.5" x14ac:dyDescent="0.25">
      <c r="A22" s="38">
        <f t="shared" si="0"/>
        <v>10</v>
      </c>
      <c r="B22" s="223" t="s">
        <v>470</v>
      </c>
      <c r="C22" s="222"/>
      <c r="D22" s="38">
        <v>1</v>
      </c>
      <c r="E22" s="201"/>
      <c r="F22" s="201"/>
      <c r="G22" s="201" t="s">
        <v>428</v>
      </c>
      <c r="H22" s="38"/>
      <c r="I22" s="38" t="s">
        <v>231</v>
      </c>
      <c r="J22" s="210">
        <v>2017</v>
      </c>
      <c r="K22" s="201"/>
      <c r="L22" s="201"/>
      <c r="M22" s="201"/>
      <c r="N22" s="201"/>
      <c r="O22" s="201" t="s">
        <v>227</v>
      </c>
      <c r="P22" s="280">
        <v>20000000</v>
      </c>
      <c r="Q22" s="38" t="s">
        <v>228</v>
      </c>
      <c r="R22" s="201"/>
      <c r="S22" s="368" t="s">
        <v>572</v>
      </c>
      <c r="T22" s="105"/>
      <c r="U22" s="45"/>
      <c r="V22" s="45"/>
      <c r="W22" s="105"/>
    </row>
    <row r="23" spans="1:23" x14ac:dyDescent="0.25">
      <c r="A23" s="38">
        <f>A22+1</f>
        <v>11</v>
      </c>
      <c r="B23" s="526" t="s">
        <v>236</v>
      </c>
      <c r="C23" s="527"/>
      <c r="D23" s="38">
        <v>2</v>
      </c>
      <c r="E23" s="39"/>
      <c r="F23" s="39"/>
      <c r="G23" s="39" t="s">
        <v>237</v>
      </c>
      <c r="H23" s="38"/>
      <c r="I23" s="38" t="s">
        <v>231</v>
      </c>
      <c r="J23" s="210">
        <v>2017</v>
      </c>
      <c r="K23" s="39"/>
      <c r="L23" s="39"/>
      <c r="M23" s="39"/>
      <c r="N23" s="39"/>
      <c r="O23" s="39" t="s">
        <v>227</v>
      </c>
      <c r="P23" s="280">
        <v>900000</v>
      </c>
      <c r="Q23" s="38" t="s">
        <v>228</v>
      </c>
      <c r="R23" s="39"/>
      <c r="S23" s="103" t="s">
        <v>6</v>
      </c>
      <c r="T23" s="25"/>
      <c r="U23" s="25"/>
      <c r="V23" s="25"/>
      <c r="W23" s="25"/>
    </row>
    <row r="24" spans="1:23" x14ac:dyDescent="0.25">
      <c r="A24" s="38">
        <f t="shared" si="0"/>
        <v>12</v>
      </c>
      <c r="B24" s="200" t="s">
        <v>236</v>
      </c>
      <c r="C24" s="200"/>
      <c r="D24" s="38">
        <v>1</v>
      </c>
      <c r="E24" s="201"/>
      <c r="F24" s="201"/>
      <c r="G24" s="201" t="s">
        <v>461</v>
      </c>
      <c r="H24" s="38"/>
      <c r="I24" s="38" t="s">
        <v>231</v>
      </c>
      <c r="J24" s="210">
        <v>2015</v>
      </c>
      <c r="K24" s="201"/>
      <c r="L24" s="201"/>
      <c r="M24" s="201"/>
      <c r="N24" s="201"/>
      <c r="O24" s="201" t="s">
        <v>227</v>
      </c>
      <c r="P24" s="280">
        <v>150000</v>
      </c>
      <c r="Q24" s="38" t="s">
        <v>352</v>
      </c>
      <c r="R24" s="201"/>
      <c r="S24" s="103" t="s">
        <v>6</v>
      </c>
      <c r="T24" s="105"/>
      <c r="U24" s="105"/>
      <c r="V24" s="105"/>
      <c r="W24" s="105"/>
    </row>
    <row r="25" spans="1:23" ht="102" x14ac:dyDescent="0.25">
      <c r="A25" s="38">
        <f t="shared" si="0"/>
        <v>13</v>
      </c>
      <c r="B25" s="526" t="s">
        <v>238</v>
      </c>
      <c r="C25" s="527"/>
      <c r="D25" s="38">
        <v>1</v>
      </c>
      <c r="E25" s="39"/>
      <c r="F25" s="39"/>
      <c r="G25" s="40" t="s">
        <v>239</v>
      </c>
      <c r="H25" s="38">
        <v>113</v>
      </c>
      <c r="I25" s="38" t="s">
        <v>231</v>
      </c>
      <c r="J25" s="211" t="s">
        <v>241</v>
      </c>
      <c r="K25" s="41" t="s">
        <v>417</v>
      </c>
      <c r="L25" s="41" t="s">
        <v>418</v>
      </c>
      <c r="M25" s="41" t="s">
        <v>419</v>
      </c>
      <c r="N25" s="204"/>
      <c r="O25" s="39" t="s">
        <v>227</v>
      </c>
      <c r="P25" s="280">
        <v>13000000</v>
      </c>
      <c r="Q25" s="41" t="s">
        <v>242</v>
      </c>
      <c r="R25" s="40" t="s">
        <v>243</v>
      </c>
      <c r="S25" s="270" t="s">
        <v>20</v>
      </c>
      <c r="T25" s="28"/>
      <c r="U25" s="45"/>
      <c r="V25" s="25"/>
      <c r="W25" s="28"/>
    </row>
    <row r="26" spans="1:23" x14ac:dyDescent="0.25">
      <c r="A26" s="38">
        <f t="shared" si="0"/>
        <v>14</v>
      </c>
      <c r="B26" s="526" t="s">
        <v>423</v>
      </c>
      <c r="C26" s="527"/>
      <c r="D26" s="38">
        <v>12</v>
      </c>
      <c r="E26" s="39"/>
      <c r="F26" s="39"/>
      <c r="G26" s="39" t="s">
        <v>424</v>
      </c>
      <c r="H26" s="38"/>
      <c r="I26" s="38" t="s">
        <v>231</v>
      </c>
      <c r="J26" s="212" t="s">
        <v>261</v>
      </c>
      <c r="K26" s="39"/>
      <c r="L26" s="39"/>
      <c r="M26" s="39"/>
      <c r="N26" s="39"/>
      <c r="O26" s="39" t="s">
        <v>227</v>
      </c>
      <c r="P26" s="280">
        <v>9600000</v>
      </c>
      <c r="Q26" s="38" t="s">
        <v>228</v>
      </c>
      <c r="R26" s="39"/>
      <c r="S26" s="269" t="s">
        <v>6</v>
      </c>
      <c r="T26" s="25"/>
      <c r="U26" s="45"/>
      <c r="V26" s="45"/>
      <c r="W26" s="25"/>
    </row>
    <row r="27" spans="1:23" x14ac:dyDescent="0.25">
      <c r="A27" s="38">
        <f t="shared" si="0"/>
        <v>15</v>
      </c>
      <c r="B27" s="526" t="s">
        <v>247</v>
      </c>
      <c r="C27" s="527"/>
      <c r="D27" s="38">
        <v>2</v>
      </c>
      <c r="E27" s="39"/>
      <c r="F27" s="39"/>
      <c r="G27" s="39" t="s">
        <v>248</v>
      </c>
      <c r="H27" s="38"/>
      <c r="I27" s="38" t="s">
        <v>231</v>
      </c>
      <c r="J27" s="212" t="s">
        <v>246</v>
      </c>
      <c r="K27" s="39"/>
      <c r="L27" s="39"/>
      <c r="M27" s="39"/>
      <c r="N27" s="39"/>
      <c r="O27" s="39" t="s">
        <v>227</v>
      </c>
      <c r="P27" s="280">
        <v>5000000</v>
      </c>
      <c r="Q27" s="38" t="s">
        <v>422</v>
      </c>
      <c r="R27" s="39"/>
      <c r="S27" s="103" t="s">
        <v>5</v>
      </c>
      <c r="T27" s="25"/>
      <c r="U27" s="45"/>
      <c r="V27" s="25"/>
      <c r="W27" s="25"/>
    </row>
    <row r="28" spans="1:23" x14ac:dyDescent="0.25">
      <c r="A28" s="38">
        <f t="shared" si="0"/>
        <v>16</v>
      </c>
      <c r="B28" s="526" t="s">
        <v>244</v>
      </c>
      <c r="C28" s="527"/>
      <c r="D28" s="38">
        <v>60</v>
      </c>
      <c r="E28" s="39"/>
      <c r="F28" s="39"/>
      <c r="G28" s="39" t="s">
        <v>249</v>
      </c>
      <c r="H28" s="38"/>
      <c r="I28" s="38" t="s">
        <v>231</v>
      </c>
      <c r="J28" s="212" t="s">
        <v>261</v>
      </c>
      <c r="K28" s="39"/>
      <c r="L28" s="39"/>
      <c r="M28" s="39"/>
      <c r="N28" s="39"/>
      <c r="O28" s="39" t="s">
        <v>227</v>
      </c>
      <c r="P28" s="280">
        <v>22500000</v>
      </c>
      <c r="Q28" s="38" t="s">
        <v>228</v>
      </c>
      <c r="R28" s="39"/>
      <c r="S28" s="269" t="s">
        <v>6</v>
      </c>
      <c r="T28" s="25"/>
      <c r="U28" s="25"/>
      <c r="V28" s="25"/>
      <c r="W28" s="25"/>
    </row>
    <row r="29" spans="1:23" x14ac:dyDescent="0.25">
      <c r="A29" s="38">
        <f t="shared" si="0"/>
        <v>17</v>
      </c>
      <c r="B29" s="526" t="s">
        <v>250</v>
      </c>
      <c r="C29" s="527"/>
      <c r="D29" s="38">
        <v>1</v>
      </c>
      <c r="E29" s="39"/>
      <c r="F29" s="39"/>
      <c r="G29" s="39"/>
      <c r="H29" s="38"/>
      <c r="I29" s="38" t="s">
        <v>231</v>
      </c>
      <c r="J29" s="212" t="s">
        <v>246</v>
      </c>
      <c r="K29" s="39"/>
      <c r="L29" s="39"/>
      <c r="M29" s="39"/>
      <c r="N29" s="39"/>
      <c r="O29" s="39" t="s">
        <v>227</v>
      </c>
      <c r="P29" s="280">
        <v>1500000</v>
      </c>
      <c r="Q29" s="38" t="s">
        <v>228</v>
      </c>
      <c r="R29" s="39"/>
      <c r="S29" s="269" t="s">
        <v>6</v>
      </c>
      <c r="T29" s="25"/>
      <c r="U29" s="25"/>
      <c r="V29" s="25"/>
      <c r="W29" s="25"/>
    </row>
    <row r="30" spans="1:23" x14ac:dyDescent="0.25">
      <c r="A30" s="38">
        <f t="shared" si="0"/>
        <v>18</v>
      </c>
      <c r="B30" s="526" t="s">
        <v>251</v>
      </c>
      <c r="C30" s="527"/>
      <c r="D30" s="38">
        <v>1</v>
      </c>
      <c r="E30" s="39"/>
      <c r="F30" s="39"/>
      <c r="G30" s="39" t="s">
        <v>432</v>
      </c>
      <c r="H30" s="38"/>
      <c r="I30" s="38" t="s">
        <v>231</v>
      </c>
      <c r="J30" s="212" t="s">
        <v>246</v>
      </c>
      <c r="K30" s="39"/>
      <c r="L30" s="39"/>
      <c r="M30" s="39"/>
      <c r="N30" s="39"/>
      <c r="O30" s="39" t="s">
        <v>227</v>
      </c>
      <c r="P30" s="280">
        <v>750000</v>
      </c>
      <c r="Q30" s="38" t="s">
        <v>422</v>
      </c>
      <c r="R30" s="39"/>
      <c r="S30" s="103" t="s">
        <v>5</v>
      </c>
      <c r="T30" s="25"/>
      <c r="U30" s="25"/>
      <c r="V30" s="25"/>
      <c r="W30" s="25"/>
    </row>
    <row r="31" spans="1:23" x14ac:dyDescent="0.25">
      <c r="A31" s="38">
        <f t="shared" si="0"/>
        <v>19</v>
      </c>
      <c r="B31" s="223" t="s">
        <v>251</v>
      </c>
      <c r="C31" s="222"/>
      <c r="D31" s="38">
        <v>1</v>
      </c>
      <c r="E31" s="201"/>
      <c r="F31" s="201"/>
      <c r="G31" s="201" t="s">
        <v>426</v>
      </c>
      <c r="H31" s="38"/>
      <c r="I31" s="38" t="s">
        <v>231</v>
      </c>
      <c r="J31" s="212" t="s">
        <v>257</v>
      </c>
      <c r="K31" s="201"/>
      <c r="L31" s="201"/>
      <c r="M31" s="201"/>
      <c r="N31" s="201"/>
      <c r="O31" s="201" t="s">
        <v>227</v>
      </c>
      <c r="P31" s="280">
        <v>750000</v>
      </c>
      <c r="Q31" s="38" t="s">
        <v>422</v>
      </c>
      <c r="R31" s="201"/>
      <c r="S31" s="103" t="s">
        <v>5</v>
      </c>
      <c r="T31" s="105"/>
      <c r="U31" s="105"/>
      <c r="V31" s="105"/>
      <c r="W31" s="105"/>
    </row>
    <row r="32" spans="1:23" x14ac:dyDescent="0.25">
      <c r="A32" s="38">
        <f t="shared" si="0"/>
        <v>20</v>
      </c>
      <c r="B32" s="223" t="s">
        <v>251</v>
      </c>
      <c r="C32" s="222"/>
      <c r="D32" s="38">
        <v>1</v>
      </c>
      <c r="E32" s="201"/>
      <c r="F32" s="201"/>
      <c r="G32" s="201" t="s">
        <v>433</v>
      </c>
      <c r="H32" s="38"/>
      <c r="I32" s="38" t="s">
        <v>231</v>
      </c>
      <c r="J32" s="212" t="s">
        <v>246</v>
      </c>
      <c r="K32" s="201"/>
      <c r="L32" s="201"/>
      <c r="M32" s="201"/>
      <c r="N32" s="201"/>
      <c r="O32" s="201" t="s">
        <v>227</v>
      </c>
      <c r="P32" s="280">
        <v>400000</v>
      </c>
      <c r="Q32" s="38" t="s">
        <v>422</v>
      </c>
      <c r="R32" s="201"/>
      <c r="S32" s="103" t="s">
        <v>5</v>
      </c>
      <c r="T32" s="105"/>
      <c r="U32" s="105"/>
      <c r="V32" s="105"/>
      <c r="W32" s="105"/>
    </row>
    <row r="33" spans="1:23" x14ac:dyDescent="0.25">
      <c r="A33" s="38">
        <f t="shared" si="0"/>
        <v>21</v>
      </c>
      <c r="B33" s="223" t="s">
        <v>253</v>
      </c>
      <c r="C33" s="222"/>
      <c r="D33" s="38">
        <v>2</v>
      </c>
      <c r="E33" s="201"/>
      <c r="F33" s="201"/>
      <c r="G33" s="201" t="s">
        <v>425</v>
      </c>
      <c r="H33" s="38"/>
      <c r="I33" s="38" t="s">
        <v>231</v>
      </c>
      <c r="J33" s="212" t="s">
        <v>261</v>
      </c>
      <c r="K33" s="201"/>
      <c r="L33" s="201"/>
      <c r="M33" s="201"/>
      <c r="N33" s="201"/>
      <c r="O33" s="201" t="s">
        <v>227</v>
      </c>
      <c r="P33" s="280">
        <v>7000000</v>
      </c>
      <c r="Q33" s="38" t="s">
        <v>228</v>
      </c>
      <c r="R33" s="201"/>
      <c r="S33" s="103" t="s">
        <v>5</v>
      </c>
      <c r="T33" s="105"/>
      <c r="U33" s="105"/>
      <c r="V33" s="105"/>
      <c r="W33" s="105"/>
    </row>
    <row r="34" spans="1:23" x14ac:dyDescent="0.25">
      <c r="A34" s="38">
        <f t="shared" si="0"/>
        <v>22</v>
      </c>
      <c r="B34" s="526" t="s">
        <v>253</v>
      </c>
      <c r="C34" s="527"/>
      <c r="D34" s="38">
        <v>1</v>
      </c>
      <c r="E34" s="39"/>
      <c r="F34" s="39"/>
      <c r="G34" s="39" t="s">
        <v>254</v>
      </c>
      <c r="H34" s="38"/>
      <c r="I34" s="38" t="s">
        <v>231</v>
      </c>
      <c r="J34" s="213">
        <v>2016</v>
      </c>
      <c r="K34" s="39"/>
      <c r="L34" s="39"/>
      <c r="M34" s="39"/>
      <c r="N34" s="39"/>
      <c r="O34" s="39" t="s">
        <v>227</v>
      </c>
      <c r="P34" s="280">
        <v>3900000</v>
      </c>
      <c r="Q34" s="38" t="s">
        <v>349</v>
      </c>
      <c r="R34" s="39"/>
      <c r="S34" s="103" t="s">
        <v>5</v>
      </c>
      <c r="T34" s="25"/>
      <c r="U34" s="25"/>
      <c r="V34" s="25"/>
      <c r="W34" s="25"/>
    </row>
    <row r="35" spans="1:23" x14ac:dyDescent="0.25">
      <c r="A35" s="38">
        <f t="shared" si="0"/>
        <v>23</v>
      </c>
      <c r="B35" s="200" t="s">
        <v>253</v>
      </c>
      <c r="C35" s="200"/>
      <c r="D35" s="38">
        <v>1</v>
      </c>
      <c r="E35" s="201"/>
      <c r="F35" s="201"/>
      <c r="G35" s="201" t="s">
        <v>434</v>
      </c>
      <c r="H35" s="38"/>
      <c r="I35" s="38" t="s">
        <v>231</v>
      </c>
      <c r="J35" s="210" t="s">
        <v>246</v>
      </c>
      <c r="K35" s="201"/>
      <c r="L35" s="201"/>
      <c r="M35" s="201"/>
      <c r="N35" s="201"/>
      <c r="O35" s="201" t="s">
        <v>264</v>
      </c>
      <c r="P35" s="280">
        <v>4300000</v>
      </c>
      <c r="Q35" s="38" t="s">
        <v>352</v>
      </c>
      <c r="R35" s="201"/>
      <c r="S35" s="103" t="s">
        <v>5</v>
      </c>
      <c r="T35" s="105"/>
      <c r="U35" s="105"/>
      <c r="V35" s="105"/>
      <c r="W35" s="105"/>
    </row>
    <row r="36" spans="1:23" x14ac:dyDescent="0.25">
      <c r="A36" s="38">
        <f t="shared" si="0"/>
        <v>24</v>
      </c>
      <c r="B36" s="200" t="s">
        <v>472</v>
      </c>
      <c r="C36" s="200"/>
      <c r="D36" s="38">
        <v>2</v>
      </c>
      <c r="E36" s="201"/>
      <c r="F36" s="201"/>
      <c r="G36" s="201" t="s">
        <v>473</v>
      </c>
      <c r="H36" s="38"/>
      <c r="I36" s="38" t="s">
        <v>231</v>
      </c>
      <c r="J36" s="210">
        <v>2018</v>
      </c>
      <c r="K36" s="201"/>
      <c r="L36" s="201"/>
      <c r="M36" s="201"/>
      <c r="N36" s="201"/>
      <c r="O36" s="201" t="s">
        <v>227</v>
      </c>
      <c r="P36" s="280">
        <v>36410000</v>
      </c>
      <c r="Q36" s="38" t="s">
        <v>228</v>
      </c>
      <c r="R36" s="201"/>
      <c r="S36" s="103" t="s">
        <v>5</v>
      </c>
      <c r="T36" s="105"/>
      <c r="U36" s="105"/>
      <c r="V36" s="105"/>
      <c r="W36" s="105"/>
    </row>
    <row r="37" spans="1:23" ht="30" x14ac:dyDescent="0.25">
      <c r="A37" s="38">
        <f t="shared" si="0"/>
        <v>25</v>
      </c>
      <c r="B37" s="526" t="s">
        <v>255</v>
      </c>
      <c r="C37" s="527"/>
      <c r="D37" s="38">
        <v>1</v>
      </c>
      <c r="E37" s="39"/>
      <c r="F37" s="39"/>
      <c r="G37" s="40" t="s">
        <v>427</v>
      </c>
      <c r="H37" s="38"/>
      <c r="I37" s="38" t="s">
        <v>231</v>
      </c>
      <c r="J37" s="213">
        <v>2016</v>
      </c>
      <c r="K37" s="39"/>
      <c r="L37" s="39"/>
      <c r="M37" s="39"/>
      <c r="N37" s="39"/>
      <c r="O37" s="39" t="s">
        <v>227</v>
      </c>
      <c r="P37" s="280">
        <v>5000000</v>
      </c>
      <c r="Q37" s="38" t="s">
        <v>228</v>
      </c>
      <c r="R37" s="39"/>
      <c r="S37" s="369" t="s">
        <v>4</v>
      </c>
      <c r="T37" s="25"/>
      <c r="U37" s="25"/>
      <c r="V37" s="25"/>
      <c r="W37" s="25"/>
    </row>
    <row r="38" spans="1:23" ht="30" x14ac:dyDescent="0.25">
      <c r="A38" s="38">
        <f t="shared" si="0"/>
        <v>26</v>
      </c>
      <c r="B38" s="250" t="s">
        <v>573</v>
      </c>
      <c r="C38" s="250"/>
      <c r="D38" s="38">
        <v>1</v>
      </c>
      <c r="E38" s="201"/>
      <c r="F38" s="201"/>
      <c r="G38" s="40" t="s">
        <v>574</v>
      </c>
      <c r="H38" s="38" t="s">
        <v>575</v>
      </c>
      <c r="I38" s="38" t="s">
        <v>231</v>
      </c>
      <c r="J38" s="213">
        <v>2016</v>
      </c>
      <c r="K38" s="201"/>
      <c r="L38" s="201"/>
      <c r="M38" s="201"/>
      <c r="N38" s="201"/>
      <c r="O38" s="201" t="s">
        <v>227</v>
      </c>
      <c r="P38" s="280">
        <v>15500000</v>
      </c>
      <c r="Q38" s="38" t="s">
        <v>228</v>
      </c>
      <c r="R38" s="201"/>
      <c r="S38" s="369" t="s">
        <v>4</v>
      </c>
      <c r="T38" s="105"/>
      <c r="U38" s="105"/>
      <c r="V38" s="105"/>
      <c r="W38" s="105"/>
    </row>
    <row r="39" spans="1:23" x14ac:dyDescent="0.25">
      <c r="A39" s="38">
        <f t="shared" si="0"/>
        <v>27</v>
      </c>
      <c r="B39" s="526" t="s">
        <v>256</v>
      </c>
      <c r="C39" s="527"/>
      <c r="D39" s="38">
        <v>1</v>
      </c>
      <c r="E39" s="39"/>
      <c r="F39" s="39"/>
      <c r="G39" s="39"/>
      <c r="H39" s="38"/>
      <c r="I39" s="38" t="s">
        <v>231</v>
      </c>
      <c r="J39" s="210" t="s">
        <v>257</v>
      </c>
      <c r="K39" s="39"/>
      <c r="L39" s="39"/>
      <c r="M39" s="39"/>
      <c r="N39" s="39"/>
      <c r="O39" s="39" t="s">
        <v>227</v>
      </c>
      <c r="P39" s="280">
        <v>4500000</v>
      </c>
      <c r="Q39" s="38" t="s">
        <v>228</v>
      </c>
      <c r="R39" s="39"/>
      <c r="S39" s="269" t="s">
        <v>6</v>
      </c>
      <c r="T39" s="25"/>
      <c r="U39" s="25"/>
      <c r="V39" s="25"/>
      <c r="W39" s="25"/>
    </row>
    <row r="40" spans="1:23" x14ac:dyDescent="0.25">
      <c r="A40" s="38">
        <f t="shared" si="0"/>
        <v>28</v>
      </c>
      <c r="B40" s="526" t="s">
        <v>258</v>
      </c>
      <c r="C40" s="527"/>
      <c r="D40" s="38">
        <v>1</v>
      </c>
      <c r="E40" s="39"/>
      <c r="F40" s="39"/>
      <c r="G40" s="39"/>
      <c r="H40" s="38"/>
      <c r="I40" s="38" t="s">
        <v>259</v>
      </c>
      <c r="J40" s="210" t="s">
        <v>420</v>
      </c>
      <c r="K40" s="39"/>
      <c r="L40" s="39"/>
      <c r="M40" s="39"/>
      <c r="N40" s="39"/>
      <c r="O40" s="39" t="s">
        <v>227</v>
      </c>
      <c r="P40" s="280">
        <v>2000000</v>
      </c>
      <c r="Q40" s="38" t="s">
        <v>228</v>
      </c>
      <c r="R40" s="39"/>
      <c r="S40" s="269" t="s">
        <v>6</v>
      </c>
    </row>
    <row r="41" spans="1:23" x14ac:dyDescent="0.25">
      <c r="A41" s="38">
        <f t="shared" si="0"/>
        <v>29</v>
      </c>
      <c r="B41" s="526" t="s">
        <v>260</v>
      </c>
      <c r="C41" s="527"/>
      <c r="D41" s="38">
        <v>2</v>
      </c>
      <c r="E41" s="39"/>
      <c r="F41" s="39"/>
      <c r="G41" s="39" t="s">
        <v>435</v>
      </c>
      <c r="H41" s="38"/>
      <c r="I41" s="38" t="s">
        <v>240</v>
      </c>
      <c r="J41" s="210" t="s">
        <v>257</v>
      </c>
      <c r="K41" s="39"/>
      <c r="L41" s="39"/>
      <c r="M41" s="39"/>
      <c r="N41" s="39"/>
      <c r="O41" s="39" t="s">
        <v>227</v>
      </c>
      <c r="P41" s="280">
        <v>3000000</v>
      </c>
      <c r="Q41" s="38" t="s">
        <v>228</v>
      </c>
      <c r="R41" s="39"/>
      <c r="S41" s="269" t="s">
        <v>6</v>
      </c>
    </row>
    <row r="42" spans="1:23" x14ac:dyDescent="0.25">
      <c r="A42" s="38">
        <f t="shared" si="0"/>
        <v>30</v>
      </c>
      <c r="B42" s="200" t="s">
        <v>260</v>
      </c>
      <c r="C42" s="200"/>
      <c r="D42" s="38">
        <v>1</v>
      </c>
      <c r="E42" s="201"/>
      <c r="F42" s="201"/>
      <c r="G42" s="201"/>
      <c r="H42" s="38"/>
      <c r="I42" s="38" t="s">
        <v>240</v>
      </c>
      <c r="J42" s="210" t="s">
        <v>233</v>
      </c>
      <c r="K42" s="201"/>
      <c r="L42" s="201"/>
      <c r="M42" s="201"/>
      <c r="N42" s="201"/>
      <c r="O42" s="201" t="s">
        <v>227</v>
      </c>
      <c r="P42" s="280">
        <v>1000000</v>
      </c>
      <c r="Q42" s="38" t="s">
        <v>436</v>
      </c>
      <c r="R42" s="201"/>
      <c r="S42" s="269" t="s">
        <v>6</v>
      </c>
    </row>
    <row r="43" spans="1:23" x14ac:dyDescent="0.25">
      <c r="A43" s="38">
        <f t="shared" si="0"/>
        <v>31</v>
      </c>
      <c r="B43" s="200" t="s">
        <v>260</v>
      </c>
      <c r="C43" s="200"/>
      <c r="D43" s="38">
        <v>1</v>
      </c>
      <c r="E43" s="201"/>
      <c r="F43" s="201"/>
      <c r="G43" s="201" t="s">
        <v>460</v>
      </c>
      <c r="H43" s="38"/>
      <c r="I43" s="38" t="s">
        <v>245</v>
      </c>
      <c r="J43" s="210" t="s">
        <v>246</v>
      </c>
      <c r="K43" s="201"/>
      <c r="L43" s="201"/>
      <c r="M43" s="201"/>
      <c r="N43" s="201"/>
      <c r="O43" s="201" t="s">
        <v>227</v>
      </c>
      <c r="P43" s="280">
        <v>200000</v>
      </c>
      <c r="Q43" s="38" t="s">
        <v>228</v>
      </c>
      <c r="R43" s="201"/>
      <c r="S43" s="269" t="s">
        <v>6</v>
      </c>
    </row>
    <row r="44" spans="1:23" x14ac:dyDescent="0.25">
      <c r="A44" s="38">
        <f t="shared" si="0"/>
        <v>32</v>
      </c>
      <c r="B44" s="526" t="s">
        <v>244</v>
      </c>
      <c r="C44" s="527"/>
      <c r="D44" s="38">
        <v>88</v>
      </c>
      <c r="E44" s="39"/>
      <c r="F44" s="39"/>
      <c r="G44" s="39"/>
      <c r="H44" s="38"/>
      <c r="I44" s="38" t="s">
        <v>259</v>
      </c>
      <c r="J44" s="210" t="s">
        <v>437</v>
      </c>
      <c r="K44" s="39"/>
      <c r="L44" s="39"/>
      <c r="M44" s="39"/>
      <c r="N44" s="39"/>
      <c r="O44" s="39" t="s">
        <v>227</v>
      </c>
      <c r="P44" s="280">
        <v>400000</v>
      </c>
      <c r="Q44" s="38" t="s">
        <v>228</v>
      </c>
      <c r="R44" s="39"/>
      <c r="S44" s="269" t="s">
        <v>6</v>
      </c>
    </row>
    <row r="45" spans="1:23" ht="30" x14ac:dyDescent="0.25">
      <c r="A45" s="38">
        <f t="shared" si="0"/>
        <v>33</v>
      </c>
      <c r="B45" s="526" t="s">
        <v>438</v>
      </c>
      <c r="C45" s="527"/>
      <c r="D45" s="38">
        <v>1</v>
      </c>
      <c r="E45" s="39"/>
      <c r="F45" s="39"/>
      <c r="G45" s="40" t="s">
        <v>439</v>
      </c>
      <c r="H45" s="38"/>
      <c r="I45" s="38" t="s">
        <v>231</v>
      </c>
      <c r="J45" s="210" t="s">
        <v>257</v>
      </c>
      <c r="K45" s="39"/>
      <c r="L45" s="39"/>
      <c r="M45" s="39"/>
      <c r="N45" s="39"/>
      <c r="O45" s="39" t="s">
        <v>227</v>
      </c>
      <c r="P45" s="280">
        <v>75000</v>
      </c>
      <c r="Q45" s="38" t="s">
        <v>352</v>
      </c>
      <c r="R45" s="39" t="s">
        <v>440</v>
      </c>
      <c r="S45" s="369" t="s">
        <v>4</v>
      </c>
    </row>
    <row r="46" spans="1:23" x14ac:dyDescent="0.25">
      <c r="A46" s="38">
        <f t="shared" si="0"/>
        <v>34</v>
      </c>
      <c r="B46" s="526" t="s">
        <v>441</v>
      </c>
      <c r="C46" s="527"/>
      <c r="D46" s="38">
        <v>1</v>
      </c>
      <c r="E46" s="39"/>
      <c r="F46" s="39"/>
      <c r="G46" s="39"/>
      <c r="H46" s="38"/>
      <c r="I46" s="38" t="s">
        <v>231</v>
      </c>
      <c r="J46" s="213">
        <v>2016</v>
      </c>
      <c r="K46" s="39"/>
      <c r="L46" s="39"/>
      <c r="M46" s="39"/>
      <c r="N46" s="39"/>
      <c r="O46" s="39" t="s">
        <v>227</v>
      </c>
      <c r="P46" s="280">
        <v>750000</v>
      </c>
      <c r="Q46" s="38" t="s">
        <v>228</v>
      </c>
      <c r="R46" s="39"/>
      <c r="S46" s="269" t="s">
        <v>6</v>
      </c>
    </row>
    <row r="47" spans="1:23" x14ac:dyDescent="0.25">
      <c r="A47" s="38">
        <f t="shared" si="0"/>
        <v>35</v>
      </c>
      <c r="B47" s="526" t="s">
        <v>251</v>
      </c>
      <c r="C47" s="527"/>
      <c r="D47" s="38">
        <v>1</v>
      </c>
      <c r="E47" s="39"/>
      <c r="F47" s="39"/>
      <c r="G47" s="39" t="s">
        <v>455</v>
      </c>
      <c r="H47" s="38"/>
      <c r="I47" s="38" t="s">
        <v>231</v>
      </c>
      <c r="J47" s="211" t="s">
        <v>261</v>
      </c>
      <c r="K47" s="39"/>
      <c r="L47" s="39"/>
      <c r="M47" s="39"/>
      <c r="N47" s="39"/>
      <c r="O47" s="39" t="s">
        <v>227</v>
      </c>
      <c r="P47" s="280">
        <v>4970000</v>
      </c>
      <c r="Q47" s="38" t="s">
        <v>228</v>
      </c>
      <c r="R47" s="39"/>
      <c r="S47" s="103" t="s">
        <v>5</v>
      </c>
    </row>
    <row r="48" spans="1:23" x14ac:dyDescent="0.25">
      <c r="A48" s="38">
        <f t="shared" si="0"/>
        <v>36</v>
      </c>
      <c r="B48" s="526" t="s">
        <v>262</v>
      </c>
      <c r="C48" s="527"/>
      <c r="D48" s="54">
        <v>1</v>
      </c>
      <c r="E48" s="55"/>
      <c r="F48" s="55"/>
      <c r="G48" s="55"/>
      <c r="H48" s="53"/>
      <c r="I48" s="53" t="s">
        <v>226</v>
      </c>
      <c r="J48" s="214">
        <v>2018</v>
      </c>
      <c r="K48" s="55"/>
      <c r="L48" s="55"/>
      <c r="M48" s="55"/>
      <c r="N48" s="55"/>
      <c r="O48" s="55" t="s">
        <v>227</v>
      </c>
      <c r="P48" s="281">
        <v>1000000</v>
      </c>
      <c r="Q48" s="53" t="s">
        <v>228</v>
      </c>
      <c r="R48" s="39" t="s">
        <v>440</v>
      </c>
      <c r="S48" s="269" t="s">
        <v>6</v>
      </c>
    </row>
    <row r="49" spans="1:19" x14ac:dyDescent="0.25">
      <c r="A49" s="38">
        <f t="shared" si="0"/>
        <v>37</v>
      </c>
      <c r="B49" s="526" t="s">
        <v>379</v>
      </c>
      <c r="C49" s="527"/>
      <c r="D49" s="198">
        <v>1</v>
      </c>
      <c r="E49" s="197"/>
      <c r="F49" s="197"/>
      <c r="G49" s="197" t="s">
        <v>469</v>
      </c>
      <c r="H49" s="196"/>
      <c r="I49" s="196" t="s">
        <v>231</v>
      </c>
      <c r="J49" s="215">
        <v>2018</v>
      </c>
      <c r="K49" s="197"/>
      <c r="L49" s="197"/>
      <c r="M49" s="197"/>
      <c r="N49" s="197"/>
      <c r="O49" s="197" t="s">
        <v>227</v>
      </c>
      <c r="P49" s="282">
        <v>7000000</v>
      </c>
      <c r="Q49" s="196" t="s">
        <v>228</v>
      </c>
      <c r="R49" s="195" t="s">
        <v>440</v>
      </c>
      <c r="S49" s="269" t="s">
        <v>14</v>
      </c>
    </row>
    <row r="50" spans="1:19" x14ac:dyDescent="0.25">
      <c r="A50" s="38">
        <f t="shared" si="0"/>
        <v>38</v>
      </c>
      <c r="B50" s="526" t="s">
        <v>462</v>
      </c>
      <c r="C50" s="527"/>
      <c r="D50" s="198">
        <v>1</v>
      </c>
      <c r="E50" s="197"/>
      <c r="F50" s="197"/>
      <c r="G50" s="197"/>
      <c r="H50" s="196"/>
      <c r="I50" s="196" t="s">
        <v>231</v>
      </c>
      <c r="J50" s="229" t="s">
        <v>463</v>
      </c>
      <c r="K50" s="197"/>
      <c r="L50" s="197"/>
      <c r="M50" s="197"/>
      <c r="N50" s="197"/>
      <c r="O50" s="197" t="s">
        <v>227</v>
      </c>
      <c r="P50" s="282">
        <v>125000</v>
      </c>
      <c r="Q50" s="196" t="s">
        <v>352</v>
      </c>
      <c r="R50" s="195"/>
      <c r="S50" s="269" t="s">
        <v>6</v>
      </c>
    </row>
    <row r="51" spans="1:19" x14ac:dyDescent="0.25">
      <c r="A51" s="38">
        <f t="shared" si="0"/>
        <v>39</v>
      </c>
      <c r="B51" s="526" t="s">
        <v>380</v>
      </c>
      <c r="C51" s="527"/>
      <c r="D51" s="198">
        <v>1</v>
      </c>
      <c r="E51" s="197"/>
      <c r="F51" s="197"/>
      <c r="G51" s="197"/>
      <c r="H51" s="196"/>
      <c r="I51" s="196" t="s">
        <v>231</v>
      </c>
      <c r="J51" s="229" t="s">
        <v>464</v>
      </c>
      <c r="K51" s="197"/>
      <c r="L51" s="197"/>
      <c r="M51" s="197"/>
      <c r="N51" s="197"/>
      <c r="O51" s="197" t="s">
        <v>227</v>
      </c>
      <c r="P51" s="282">
        <v>500000</v>
      </c>
      <c r="Q51" s="196" t="s">
        <v>228</v>
      </c>
      <c r="R51" s="195"/>
      <c r="S51" s="269" t="s">
        <v>6</v>
      </c>
    </row>
    <row r="52" spans="1:19" x14ac:dyDescent="0.25">
      <c r="A52" s="38">
        <f t="shared" si="0"/>
        <v>40</v>
      </c>
      <c r="B52" s="526" t="s">
        <v>381</v>
      </c>
      <c r="C52" s="527"/>
      <c r="D52" s="198">
        <v>1</v>
      </c>
      <c r="E52" s="197"/>
      <c r="F52" s="197"/>
      <c r="G52" s="197"/>
      <c r="H52" s="196"/>
      <c r="I52" s="196" t="s">
        <v>226</v>
      </c>
      <c r="J52" s="215">
        <v>2016</v>
      </c>
      <c r="K52" s="197"/>
      <c r="L52" s="197"/>
      <c r="M52" s="197"/>
      <c r="N52" s="197"/>
      <c r="O52" s="197" t="s">
        <v>577</v>
      </c>
      <c r="P52" s="282">
        <v>1000000</v>
      </c>
      <c r="Q52" s="196" t="s">
        <v>228</v>
      </c>
      <c r="R52" s="195"/>
      <c r="S52" s="269" t="s">
        <v>6</v>
      </c>
    </row>
    <row r="53" spans="1:19" ht="30" x14ac:dyDescent="0.25">
      <c r="A53" s="38">
        <f t="shared" si="0"/>
        <v>41</v>
      </c>
      <c r="B53" s="526" t="s">
        <v>465</v>
      </c>
      <c r="C53" s="527"/>
      <c r="D53" s="198">
        <v>1</v>
      </c>
      <c r="E53" s="197"/>
      <c r="F53" s="197"/>
      <c r="G53" s="197"/>
      <c r="H53" s="196"/>
      <c r="I53" s="196" t="s">
        <v>231</v>
      </c>
      <c r="J53" s="215">
        <v>2016</v>
      </c>
      <c r="K53" s="197"/>
      <c r="L53" s="197"/>
      <c r="M53" s="197"/>
      <c r="N53" s="197"/>
      <c r="O53" s="197" t="s">
        <v>227</v>
      </c>
      <c r="P53" s="282">
        <v>2500000</v>
      </c>
      <c r="Q53" s="196" t="s">
        <v>349</v>
      </c>
      <c r="R53" s="195"/>
      <c r="S53" s="369" t="s">
        <v>4</v>
      </c>
    </row>
    <row r="54" spans="1:19" ht="30" x14ac:dyDescent="0.25">
      <c r="A54" s="38">
        <f t="shared" si="0"/>
        <v>42</v>
      </c>
      <c r="B54" s="526" t="s">
        <v>394</v>
      </c>
      <c r="C54" s="527"/>
      <c r="D54" s="198">
        <v>1</v>
      </c>
      <c r="E54" s="197"/>
      <c r="F54" s="197"/>
      <c r="G54" s="197" t="s">
        <v>248</v>
      </c>
      <c r="H54" s="196"/>
      <c r="I54" s="196" t="s">
        <v>231</v>
      </c>
      <c r="J54" s="215">
        <v>2016</v>
      </c>
      <c r="K54" s="197"/>
      <c r="L54" s="197"/>
      <c r="M54" s="197"/>
      <c r="N54" s="197"/>
      <c r="O54" s="197" t="s">
        <v>227</v>
      </c>
      <c r="P54" s="282">
        <v>1250000</v>
      </c>
      <c r="Q54" s="196" t="s">
        <v>228</v>
      </c>
      <c r="R54" s="195"/>
      <c r="S54" s="369" t="s">
        <v>4</v>
      </c>
    </row>
    <row r="55" spans="1:19" ht="30" x14ac:dyDescent="0.25">
      <c r="A55" s="38">
        <f t="shared" si="0"/>
        <v>43</v>
      </c>
      <c r="B55" s="526" t="s">
        <v>466</v>
      </c>
      <c r="C55" s="527"/>
      <c r="D55" s="198">
        <v>2</v>
      </c>
      <c r="E55" s="197"/>
      <c r="F55" s="197"/>
      <c r="G55" s="197" t="s">
        <v>467</v>
      </c>
      <c r="H55" s="196"/>
      <c r="I55" s="196" t="s">
        <v>231</v>
      </c>
      <c r="J55" s="215">
        <v>2015</v>
      </c>
      <c r="K55" s="197"/>
      <c r="L55" s="197"/>
      <c r="M55" s="197"/>
      <c r="N55" s="197"/>
      <c r="O55" s="197" t="s">
        <v>227</v>
      </c>
      <c r="P55" s="282">
        <v>350000</v>
      </c>
      <c r="Q55" s="196" t="s">
        <v>349</v>
      </c>
      <c r="R55" s="195"/>
      <c r="S55" s="369" t="s">
        <v>4</v>
      </c>
    </row>
    <row r="56" spans="1:19" x14ac:dyDescent="0.25">
      <c r="A56" s="38">
        <f t="shared" si="0"/>
        <v>44</v>
      </c>
      <c r="B56" s="526" t="s">
        <v>382</v>
      </c>
      <c r="C56" s="527"/>
      <c r="D56" s="198">
        <v>2</v>
      </c>
      <c r="E56" s="197"/>
      <c r="F56" s="197"/>
      <c r="G56" s="197"/>
      <c r="H56" s="196"/>
      <c r="I56" s="196" t="s">
        <v>259</v>
      </c>
      <c r="J56" s="215">
        <v>2017</v>
      </c>
      <c r="K56" s="197"/>
      <c r="L56" s="197"/>
      <c r="M56" s="197"/>
      <c r="N56" s="197"/>
      <c r="O56" s="197" t="s">
        <v>227</v>
      </c>
      <c r="P56" s="282">
        <v>80000</v>
      </c>
      <c r="Q56" s="196" t="s">
        <v>228</v>
      </c>
      <c r="R56" s="195"/>
      <c r="S56" s="269" t="s">
        <v>6</v>
      </c>
    </row>
    <row r="57" spans="1:19" x14ac:dyDescent="0.25">
      <c r="A57" s="38">
        <f t="shared" si="0"/>
        <v>45</v>
      </c>
      <c r="B57" s="526" t="s">
        <v>468</v>
      </c>
      <c r="C57" s="527"/>
      <c r="D57" s="198">
        <v>4</v>
      </c>
      <c r="E57" s="197"/>
      <c r="F57" s="197"/>
      <c r="G57" s="197"/>
      <c r="H57" s="196"/>
      <c r="I57" s="196" t="s">
        <v>231</v>
      </c>
      <c r="J57" s="215">
        <v>2017</v>
      </c>
      <c r="K57" s="197"/>
      <c r="L57" s="197"/>
      <c r="M57" s="197"/>
      <c r="N57" s="197"/>
      <c r="O57" s="197" t="s">
        <v>227</v>
      </c>
      <c r="P57" s="282">
        <v>100000</v>
      </c>
      <c r="Q57" s="196" t="s">
        <v>228</v>
      </c>
      <c r="R57" s="195"/>
      <c r="S57" s="269" t="s">
        <v>6</v>
      </c>
    </row>
    <row r="58" spans="1:19" x14ac:dyDescent="0.25">
      <c r="A58" s="196"/>
      <c r="B58" s="576"/>
      <c r="C58" s="576"/>
      <c r="D58" s="198"/>
      <c r="E58" s="197"/>
      <c r="F58" s="197"/>
      <c r="G58" s="197"/>
      <c r="H58" s="196"/>
      <c r="I58" s="196"/>
      <c r="J58" s="215"/>
      <c r="K58" s="197"/>
      <c r="L58" s="197"/>
      <c r="M58" s="197"/>
      <c r="N58" s="197"/>
      <c r="O58" s="197"/>
      <c r="P58" s="199"/>
      <c r="Q58" s="196"/>
      <c r="R58" s="195"/>
      <c r="S58" s="103"/>
    </row>
    <row r="59" spans="1:19" x14ac:dyDescent="0.25">
      <c r="A59" s="196"/>
      <c r="B59" s="576"/>
      <c r="C59" s="576"/>
      <c r="D59" s="198"/>
      <c r="E59" s="197"/>
      <c r="F59" s="197"/>
      <c r="G59" s="197"/>
      <c r="H59" s="196"/>
      <c r="I59" s="196"/>
      <c r="J59" s="215"/>
      <c r="K59" s="197"/>
      <c r="L59" s="197"/>
      <c r="M59" s="197"/>
      <c r="N59" s="197"/>
      <c r="O59" s="197"/>
      <c r="P59" s="199"/>
      <c r="Q59" s="196" t="s">
        <v>440</v>
      </c>
      <c r="R59" s="195"/>
      <c r="S59" s="103" t="s">
        <v>440</v>
      </c>
    </row>
    <row r="60" spans="1:19" x14ac:dyDescent="0.25">
      <c r="A60" s="196"/>
      <c r="B60" s="576"/>
      <c r="C60" s="576"/>
      <c r="D60" s="198"/>
      <c r="E60" s="197"/>
      <c r="F60" s="197"/>
      <c r="G60" s="197"/>
      <c r="H60" s="196"/>
      <c r="I60" s="196"/>
      <c r="J60" s="215"/>
      <c r="K60" s="197"/>
      <c r="L60" s="197"/>
      <c r="M60" s="197"/>
      <c r="N60" s="197"/>
      <c r="O60" s="197"/>
      <c r="P60" s="199"/>
      <c r="Q60" s="196" t="s">
        <v>440</v>
      </c>
      <c r="R60" s="195"/>
      <c r="S60" s="103"/>
    </row>
    <row r="61" spans="1:19" x14ac:dyDescent="0.25">
      <c r="A61" s="196"/>
      <c r="B61" s="576"/>
      <c r="C61" s="576"/>
      <c r="D61" s="198"/>
      <c r="E61" s="197"/>
      <c r="F61" s="197"/>
      <c r="G61" s="197"/>
      <c r="H61" s="196"/>
      <c r="I61" s="196"/>
      <c r="J61" s="215"/>
      <c r="K61" s="197"/>
      <c r="L61" s="197"/>
      <c r="M61" s="197"/>
      <c r="N61" s="197"/>
      <c r="O61" s="197"/>
      <c r="P61" s="199"/>
      <c r="Q61" s="196"/>
      <c r="R61" s="195"/>
      <c r="S61" s="103"/>
    </row>
    <row r="62" spans="1:19" x14ac:dyDescent="0.25">
      <c r="A62" s="196"/>
      <c r="B62" s="576"/>
      <c r="C62" s="576"/>
      <c r="D62" s="198"/>
      <c r="E62" s="197"/>
      <c r="F62" s="197"/>
      <c r="G62" s="197"/>
      <c r="H62" s="196"/>
      <c r="I62" s="196"/>
      <c r="J62" s="215"/>
      <c r="K62" s="197"/>
      <c r="L62" s="197"/>
      <c r="M62" s="197"/>
      <c r="N62" s="197"/>
      <c r="O62" s="197"/>
      <c r="P62" s="199"/>
      <c r="Q62" s="196"/>
      <c r="R62" s="195"/>
      <c r="S62" s="103"/>
    </row>
    <row r="63" spans="1:19" x14ac:dyDescent="0.25">
      <c r="A63" s="141"/>
      <c r="B63" s="142" t="s">
        <v>263</v>
      </c>
      <c r="C63" s="143"/>
      <c r="D63" s="141"/>
      <c r="E63" s="143"/>
      <c r="F63" s="143"/>
      <c r="G63" s="143"/>
      <c r="H63" s="141"/>
      <c r="I63" s="141"/>
      <c r="J63" s="216"/>
      <c r="K63" s="143"/>
      <c r="L63" s="143"/>
      <c r="M63" s="143"/>
      <c r="N63" s="143"/>
      <c r="O63" s="143"/>
      <c r="P63" s="144">
        <f>SUM(P13:P62)</f>
        <v>195710000</v>
      </c>
      <c r="Q63" s="141"/>
      <c r="R63" s="65"/>
      <c r="S63" s="271"/>
    </row>
    <row r="64" spans="1:19" x14ac:dyDescent="0.25">
      <c r="A64" s="59"/>
      <c r="B64" s="66"/>
      <c r="C64" s="67"/>
      <c r="D64" s="68"/>
      <c r="E64" s="67"/>
      <c r="F64" s="67"/>
      <c r="G64" s="67"/>
      <c r="H64" s="59"/>
      <c r="I64" s="59"/>
      <c r="J64" s="217"/>
      <c r="K64" s="67"/>
      <c r="L64" s="67"/>
      <c r="M64" s="67"/>
      <c r="N64" s="67"/>
      <c r="O64" s="67"/>
      <c r="P64" s="69"/>
      <c r="Q64" s="59"/>
      <c r="R64" s="67"/>
      <c r="S64" s="88"/>
    </row>
    <row r="65" spans="1:21" ht="15.75" x14ac:dyDescent="0.25">
      <c r="A65" s="579" t="s">
        <v>318</v>
      </c>
      <c r="B65" s="579"/>
      <c r="C65" s="579"/>
      <c r="D65" s="579"/>
      <c r="E65" s="579"/>
      <c r="F65" s="579"/>
      <c r="G65" s="579"/>
      <c r="H65" s="579"/>
      <c r="I65" s="579"/>
      <c r="J65" s="579"/>
      <c r="K65" s="579"/>
      <c r="L65" s="579"/>
      <c r="M65" s="579"/>
      <c r="N65" s="579"/>
      <c r="O65" s="579"/>
      <c r="P65" s="579"/>
      <c r="Q65" s="579"/>
      <c r="R65" s="579"/>
      <c r="S65" s="272"/>
    </row>
    <row r="66" spans="1:21" x14ac:dyDescent="0.25">
      <c r="A66" s="35">
        <v>1</v>
      </c>
      <c r="B66" s="231" t="s">
        <v>474</v>
      </c>
      <c r="C66" s="284"/>
      <c r="D66" s="56">
        <v>1</v>
      </c>
      <c r="E66" s="44"/>
      <c r="F66" s="44"/>
      <c r="G66" s="44"/>
      <c r="H66" s="34"/>
      <c r="I66" s="34" t="s">
        <v>231</v>
      </c>
      <c r="J66" s="219">
        <v>2019</v>
      </c>
      <c r="K66" s="44"/>
      <c r="L66" s="44"/>
      <c r="M66" s="44"/>
      <c r="N66" s="44"/>
      <c r="O66" s="58" t="s">
        <v>227</v>
      </c>
      <c r="P66" s="277">
        <v>28000000</v>
      </c>
      <c r="Q66" s="56" t="s">
        <v>228</v>
      </c>
      <c r="R66" s="42"/>
      <c r="S66" s="103" t="s">
        <v>5</v>
      </c>
    </row>
    <row r="67" spans="1:21" ht="30" x14ac:dyDescent="0.25">
      <c r="A67" s="35">
        <f>A66+1</f>
        <v>2</v>
      </c>
      <c r="B67" s="522" t="s">
        <v>230</v>
      </c>
      <c r="C67" s="523"/>
      <c r="D67" s="34">
        <v>1</v>
      </c>
      <c r="E67" s="44"/>
      <c r="F67" s="44"/>
      <c r="G67" s="44" t="s">
        <v>235</v>
      </c>
      <c r="H67" s="34" t="s">
        <v>720</v>
      </c>
      <c r="I67" s="34" t="s">
        <v>231</v>
      </c>
      <c r="J67" s="303">
        <v>2019</v>
      </c>
      <c r="K67" s="44"/>
      <c r="L67" s="44"/>
      <c r="M67" s="44"/>
      <c r="N67" s="44"/>
      <c r="O67" s="44" t="s">
        <v>227</v>
      </c>
      <c r="P67" s="277">
        <v>4500000</v>
      </c>
      <c r="Q67" s="34" t="s">
        <v>228</v>
      </c>
      <c r="R67" s="43"/>
      <c r="S67" s="369" t="s">
        <v>4</v>
      </c>
      <c r="T67" s="45"/>
      <c r="U67" s="25"/>
    </row>
    <row r="68" spans="1:21" x14ac:dyDescent="0.25">
      <c r="A68" s="35"/>
      <c r="B68" s="231"/>
      <c r="C68" s="230"/>
      <c r="D68" s="56"/>
      <c r="E68" s="44"/>
      <c r="F68" s="44"/>
      <c r="G68" s="44"/>
      <c r="H68" s="34"/>
      <c r="I68" s="34"/>
      <c r="J68" s="219"/>
      <c r="K68" s="44"/>
      <c r="L68" s="44"/>
      <c r="M68" s="44"/>
      <c r="N68" s="44"/>
      <c r="O68" s="58"/>
      <c r="P68" s="277"/>
      <c r="Q68" s="56"/>
      <c r="R68" s="42"/>
      <c r="S68" s="103"/>
      <c r="T68" s="46"/>
      <c r="U68" s="25"/>
    </row>
    <row r="69" spans="1:21" x14ac:dyDescent="0.25">
      <c r="A69" s="35"/>
      <c r="B69" s="580"/>
      <c r="C69" s="581"/>
      <c r="D69" s="34"/>
      <c r="E69" s="44"/>
      <c r="F69" s="44"/>
      <c r="G69" s="44"/>
      <c r="H69" s="34"/>
      <c r="I69" s="34"/>
      <c r="J69" s="218"/>
      <c r="K69" s="44"/>
      <c r="L69" s="44"/>
      <c r="M69" s="44"/>
      <c r="N69" s="44"/>
      <c r="O69" s="44"/>
      <c r="P69" s="277"/>
      <c r="Q69" s="34"/>
      <c r="R69" s="43"/>
      <c r="S69" s="273"/>
      <c r="T69" s="46"/>
      <c r="U69" s="25"/>
    </row>
    <row r="70" spans="1:21" x14ac:dyDescent="0.25">
      <c r="A70" s="35"/>
      <c r="B70" s="232"/>
      <c r="C70" s="230"/>
      <c r="D70" s="34"/>
      <c r="E70" s="44"/>
      <c r="F70" s="44"/>
      <c r="G70" s="44"/>
      <c r="H70" s="34"/>
      <c r="I70" s="34"/>
      <c r="J70" s="218"/>
      <c r="K70" s="44"/>
      <c r="L70" s="44"/>
      <c r="M70" s="44"/>
      <c r="N70" s="44"/>
      <c r="O70" s="44"/>
      <c r="P70" s="57"/>
      <c r="Q70" s="34"/>
      <c r="R70" s="47"/>
      <c r="S70" s="103" t="s">
        <v>301</v>
      </c>
      <c r="T70" s="46"/>
      <c r="U70" s="25"/>
    </row>
    <row r="71" spans="1:21" x14ac:dyDescent="0.25">
      <c r="A71" s="35"/>
      <c r="B71" s="231"/>
      <c r="C71" s="230"/>
      <c r="D71" s="34"/>
      <c r="E71" s="44"/>
      <c r="F71" s="44"/>
      <c r="G71" s="44"/>
      <c r="H71" s="34"/>
      <c r="I71" s="34"/>
      <c r="J71" s="218"/>
      <c r="K71" s="44"/>
      <c r="L71" s="44"/>
      <c r="M71" s="44"/>
      <c r="N71" s="44"/>
      <c r="O71" s="44"/>
      <c r="P71" s="57"/>
      <c r="Q71" s="34"/>
      <c r="R71" s="47"/>
      <c r="S71" s="103" t="s">
        <v>301</v>
      </c>
      <c r="T71" s="46"/>
      <c r="U71" s="45"/>
    </row>
    <row r="72" spans="1:21" x14ac:dyDescent="0.25">
      <c r="A72" s="35"/>
      <c r="B72" s="231"/>
      <c r="C72" s="230"/>
      <c r="D72" s="34"/>
      <c r="E72" s="44"/>
      <c r="F72" s="44"/>
      <c r="G72" s="44"/>
      <c r="H72" s="34"/>
      <c r="I72" s="34"/>
      <c r="J72" s="218"/>
      <c r="K72" s="44"/>
      <c r="L72" s="44"/>
      <c r="M72" s="44"/>
      <c r="N72" s="44"/>
      <c r="O72" s="44"/>
      <c r="P72" s="48"/>
      <c r="Q72" s="34"/>
      <c r="R72" s="47"/>
      <c r="S72" s="103"/>
      <c r="T72" s="25"/>
      <c r="U72" s="25"/>
    </row>
    <row r="73" spans="1:21" x14ac:dyDescent="0.25">
      <c r="A73" s="49"/>
      <c r="B73" s="582" t="s">
        <v>265</v>
      </c>
      <c r="C73" s="583"/>
      <c r="D73" s="50"/>
      <c r="E73" s="51"/>
      <c r="F73" s="51"/>
      <c r="G73" s="51"/>
      <c r="H73" s="50"/>
      <c r="I73" s="50"/>
      <c r="J73" s="220"/>
      <c r="K73" s="51"/>
      <c r="L73" s="51"/>
      <c r="M73" s="51"/>
      <c r="N73" s="51"/>
      <c r="O73" s="51"/>
      <c r="P73" s="52">
        <f>SUM(P66:P72)</f>
        <v>32500000</v>
      </c>
      <c r="Q73" s="51"/>
      <c r="R73" s="51"/>
      <c r="S73" s="103"/>
      <c r="T73" s="25"/>
      <c r="U73" s="25"/>
    </row>
    <row r="74" spans="1:21" x14ac:dyDescent="0.25">
      <c r="A74" s="351"/>
      <c r="B74" s="598" t="s">
        <v>266</v>
      </c>
      <c r="C74" s="599"/>
      <c r="D74" s="352"/>
      <c r="E74" s="353"/>
      <c r="F74" s="353"/>
      <c r="G74" s="353"/>
      <c r="H74" s="352"/>
      <c r="I74" s="352"/>
      <c r="J74" s="354"/>
      <c r="K74" s="353"/>
      <c r="L74" s="353"/>
      <c r="M74" s="353"/>
      <c r="N74" s="353"/>
      <c r="O74" s="353"/>
      <c r="P74" s="355">
        <f>P63+P73</f>
        <v>228210000</v>
      </c>
      <c r="Q74" s="353"/>
      <c r="R74" s="353"/>
      <c r="S74" s="318"/>
      <c r="T74" s="105"/>
      <c r="U74" s="105"/>
    </row>
    <row r="76" spans="1:21" ht="15.75" x14ac:dyDescent="0.25">
      <c r="A76" s="579" t="s">
        <v>606</v>
      </c>
      <c r="B76" s="579"/>
      <c r="C76" s="579"/>
      <c r="D76" s="579"/>
      <c r="E76" s="579"/>
      <c r="F76" s="579"/>
      <c r="G76" s="579"/>
      <c r="H76" s="579"/>
      <c r="I76" s="579"/>
      <c r="J76" s="579"/>
      <c r="K76" s="579"/>
      <c r="L76" s="579"/>
      <c r="M76" s="579"/>
      <c r="N76" s="579"/>
      <c r="O76" s="579"/>
      <c r="P76" s="579"/>
      <c r="Q76" s="579"/>
      <c r="R76" s="579"/>
      <c r="S76" s="272"/>
    </row>
    <row r="77" spans="1:21" x14ac:dyDescent="0.25">
      <c r="A77" s="35">
        <v>1</v>
      </c>
      <c r="B77" s="231" t="s">
        <v>607</v>
      </c>
      <c r="C77" s="302"/>
      <c r="D77" s="56">
        <v>1</v>
      </c>
      <c r="E77" s="44"/>
      <c r="F77" s="44"/>
      <c r="G77" s="44"/>
      <c r="H77" s="34"/>
      <c r="I77" s="34" t="s">
        <v>231</v>
      </c>
      <c r="J77" s="219">
        <v>2020</v>
      </c>
      <c r="K77" s="44"/>
      <c r="L77" s="44"/>
      <c r="M77" s="44"/>
      <c r="N77" s="44"/>
      <c r="O77" s="58" t="s">
        <v>227</v>
      </c>
      <c r="P77" s="277">
        <v>650000</v>
      </c>
      <c r="Q77" s="56" t="s">
        <v>422</v>
      </c>
      <c r="R77" s="42"/>
      <c r="S77" s="269" t="s">
        <v>16</v>
      </c>
    </row>
    <row r="78" spans="1:21" x14ac:dyDescent="0.25">
      <c r="A78" s="35">
        <f>A77+1</f>
        <v>2</v>
      </c>
      <c r="B78" s="522" t="s">
        <v>253</v>
      </c>
      <c r="C78" s="523"/>
      <c r="D78" s="34">
        <v>1</v>
      </c>
      <c r="E78" s="44"/>
      <c r="F78" s="44"/>
      <c r="G78" s="44" t="s">
        <v>425</v>
      </c>
      <c r="H78" s="34"/>
      <c r="I78" s="34" t="s">
        <v>231</v>
      </c>
      <c r="J78" s="303">
        <v>2020</v>
      </c>
      <c r="K78" s="44"/>
      <c r="L78" s="44"/>
      <c r="M78" s="44"/>
      <c r="N78" s="44"/>
      <c r="O78" s="44" t="s">
        <v>227</v>
      </c>
      <c r="P78" s="277">
        <v>4500000</v>
      </c>
      <c r="Q78" s="34" t="s">
        <v>228</v>
      </c>
      <c r="R78" s="43"/>
      <c r="S78" s="269" t="s">
        <v>5</v>
      </c>
      <c r="T78" s="45"/>
      <c r="U78" s="105"/>
    </row>
    <row r="79" spans="1:21" x14ac:dyDescent="0.25">
      <c r="A79" s="35">
        <f>A78+1</f>
        <v>3</v>
      </c>
      <c r="B79" s="231" t="s">
        <v>609</v>
      </c>
      <c r="C79" s="302"/>
      <c r="D79" s="56">
        <v>1</v>
      </c>
      <c r="E79" s="44"/>
      <c r="F79" s="44"/>
      <c r="G79" s="44" t="s">
        <v>608</v>
      </c>
      <c r="H79" s="34"/>
      <c r="I79" s="34" t="s">
        <v>231</v>
      </c>
      <c r="J79" s="303">
        <v>2020</v>
      </c>
      <c r="K79" s="44"/>
      <c r="L79" s="44"/>
      <c r="M79" s="44"/>
      <c r="N79" s="44"/>
      <c r="O79" s="44" t="s">
        <v>227</v>
      </c>
      <c r="P79" s="277">
        <v>4350000</v>
      </c>
      <c r="Q79" s="34" t="s">
        <v>228</v>
      </c>
      <c r="R79" s="42"/>
      <c r="S79" s="269" t="s">
        <v>5</v>
      </c>
      <c r="T79" s="46"/>
      <c r="U79" s="105"/>
    </row>
    <row r="80" spans="1:21" ht="38.25" x14ac:dyDescent="0.25">
      <c r="A80" s="35">
        <v>4</v>
      </c>
      <c r="B80" s="524" t="s">
        <v>238</v>
      </c>
      <c r="C80" s="525"/>
      <c r="D80" s="35">
        <v>1</v>
      </c>
      <c r="E80" s="366"/>
      <c r="F80" s="366"/>
      <c r="G80" s="367" t="s">
        <v>631</v>
      </c>
      <c r="H80" s="35"/>
      <c r="I80" s="35" t="s">
        <v>231</v>
      </c>
      <c r="J80" s="303">
        <v>2020</v>
      </c>
      <c r="K80" s="367" t="s">
        <v>632</v>
      </c>
      <c r="L80" s="367" t="s">
        <v>633</v>
      </c>
      <c r="M80" s="367" t="s">
        <v>634</v>
      </c>
      <c r="N80" s="367" t="s">
        <v>635</v>
      </c>
      <c r="O80" s="366" t="s">
        <v>577</v>
      </c>
      <c r="P80" s="277">
        <v>27500000</v>
      </c>
      <c r="Q80" s="35" t="s">
        <v>228</v>
      </c>
      <c r="R80" s="65"/>
      <c r="S80" s="270" t="s">
        <v>20</v>
      </c>
      <c r="T80" s="46"/>
      <c r="U80" s="105"/>
    </row>
    <row r="81" spans="1:21" x14ac:dyDescent="0.25">
      <c r="A81" s="35"/>
      <c r="B81" s="231"/>
      <c r="C81" s="302"/>
      <c r="D81" s="34"/>
      <c r="E81" s="44"/>
      <c r="F81" s="44"/>
      <c r="G81" s="44"/>
      <c r="H81" s="34"/>
      <c r="I81" s="34"/>
      <c r="J81" s="218"/>
      <c r="K81" s="44"/>
      <c r="L81" s="44"/>
      <c r="M81" s="44"/>
      <c r="N81" s="44"/>
      <c r="O81" s="44"/>
      <c r="P81" s="48"/>
      <c r="Q81" s="34"/>
      <c r="R81" s="47"/>
      <c r="S81" s="291"/>
      <c r="T81" s="105"/>
      <c r="U81" s="105"/>
    </row>
    <row r="82" spans="1:21" x14ac:dyDescent="0.25">
      <c r="A82" s="356"/>
      <c r="B82" s="596" t="s">
        <v>610</v>
      </c>
      <c r="C82" s="597"/>
      <c r="D82" s="357"/>
      <c r="E82" s="358"/>
      <c r="F82" s="358"/>
      <c r="G82" s="358"/>
      <c r="H82" s="357"/>
      <c r="I82" s="357"/>
      <c r="J82" s="359"/>
      <c r="K82" s="358"/>
      <c r="L82" s="358"/>
      <c r="M82" s="358"/>
      <c r="N82" s="358"/>
      <c r="O82" s="358"/>
      <c r="P82" s="360">
        <f>SUM(P77:P81)</f>
        <v>37000000</v>
      </c>
      <c r="Q82" s="358"/>
      <c r="R82" s="358"/>
      <c r="S82" s="103"/>
      <c r="T82" s="105"/>
      <c r="U82" s="105"/>
    </row>
    <row r="83" spans="1:21" x14ac:dyDescent="0.25">
      <c r="A83" s="383"/>
      <c r="B83" s="384"/>
      <c r="C83" s="384"/>
      <c r="D83" s="385"/>
      <c r="E83" s="386"/>
      <c r="F83" s="386"/>
      <c r="G83" s="386"/>
      <c r="H83" s="385"/>
      <c r="I83" s="385"/>
      <c r="J83" s="387"/>
      <c r="K83" s="386"/>
      <c r="L83" s="386"/>
      <c r="M83" s="386"/>
      <c r="N83" s="386"/>
      <c r="O83" s="386"/>
      <c r="P83" s="388"/>
      <c r="Q83" s="386"/>
      <c r="R83" s="386"/>
      <c r="S83" s="291"/>
      <c r="T83" s="105"/>
      <c r="U83" s="105"/>
    </row>
    <row r="84" spans="1:21" ht="15.75" x14ac:dyDescent="0.25">
      <c r="A84" s="579" t="s">
        <v>636</v>
      </c>
      <c r="B84" s="579"/>
      <c r="C84" s="579"/>
      <c r="D84" s="579"/>
      <c r="E84" s="579"/>
      <c r="F84" s="579"/>
      <c r="G84" s="579"/>
      <c r="H84" s="579"/>
      <c r="I84" s="579"/>
      <c r="J84" s="579"/>
      <c r="K84" s="579"/>
      <c r="L84" s="579"/>
      <c r="M84" s="579"/>
      <c r="N84" s="579"/>
      <c r="O84" s="579"/>
      <c r="P84" s="579"/>
      <c r="Q84" s="579"/>
      <c r="R84" s="579"/>
      <c r="S84" s="291"/>
      <c r="T84" s="105"/>
      <c r="U84" s="105"/>
    </row>
    <row r="85" spans="1:21" x14ac:dyDescent="0.25">
      <c r="A85" s="382">
        <v>1</v>
      </c>
      <c r="B85" s="424" t="s">
        <v>253</v>
      </c>
      <c r="C85" s="377"/>
      <c r="D85" s="352">
        <v>1</v>
      </c>
      <c r="E85" s="353"/>
      <c r="F85" s="353"/>
      <c r="G85" s="353" t="s">
        <v>637</v>
      </c>
      <c r="H85" s="352"/>
      <c r="I85" s="352" t="s">
        <v>638</v>
      </c>
      <c r="J85" s="389">
        <v>2021</v>
      </c>
      <c r="K85" s="353"/>
      <c r="L85" s="353"/>
      <c r="M85" s="353"/>
      <c r="N85" s="353"/>
      <c r="O85" s="353" t="s">
        <v>264</v>
      </c>
      <c r="P85" s="395">
        <v>7000000</v>
      </c>
      <c r="Q85" s="353" t="s">
        <v>639</v>
      </c>
      <c r="R85" s="353"/>
      <c r="S85" s="103" t="s">
        <v>5</v>
      </c>
      <c r="T85" s="105"/>
      <c r="U85" s="105"/>
    </row>
    <row r="86" spans="1:21" x14ac:dyDescent="0.25">
      <c r="A86" s="382">
        <v>2</v>
      </c>
      <c r="B86" s="424" t="s">
        <v>670</v>
      </c>
      <c r="C86" s="377"/>
      <c r="D86" s="352">
        <v>2</v>
      </c>
      <c r="E86" s="353"/>
      <c r="F86" s="353"/>
      <c r="G86" s="353"/>
      <c r="H86" s="352"/>
      <c r="I86" s="352"/>
      <c r="J86" s="389">
        <v>2021</v>
      </c>
      <c r="K86" s="353"/>
      <c r="L86" s="353"/>
      <c r="M86" s="353"/>
      <c r="N86" s="353"/>
      <c r="O86" s="353" t="s">
        <v>264</v>
      </c>
      <c r="P86" s="395">
        <v>4700000</v>
      </c>
      <c r="Q86" s="353" t="s">
        <v>639</v>
      </c>
      <c r="R86" s="353"/>
      <c r="S86" s="269" t="s">
        <v>16</v>
      </c>
      <c r="T86" s="105"/>
      <c r="U86" s="105"/>
    </row>
    <row r="87" spans="1:21" x14ac:dyDescent="0.25">
      <c r="A87" s="390"/>
      <c r="B87" s="592" t="s">
        <v>640</v>
      </c>
      <c r="C87" s="593"/>
      <c r="D87" s="391"/>
      <c r="E87" s="392"/>
      <c r="F87" s="392"/>
      <c r="G87" s="392"/>
      <c r="H87" s="391"/>
      <c r="I87" s="391"/>
      <c r="J87" s="393"/>
      <c r="K87" s="392"/>
      <c r="L87" s="392"/>
      <c r="M87" s="392"/>
      <c r="N87" s="392"/>
      <c r="O87" s="392"/>
      <c r="P87" s="394">
        <f>SUM(P85:P86)</f>
        <v>11700000</v>
      </c>
      <c r="Q87" s="392"/>
      <c r="R87" s="392"/>
      <c r="S87" s="103"/>
      <c r="T87" s="105"/>
      <c r="U87" s="105"/>
    </row>
    <row r="88" spans="1:21" x14ac:dyDescent="0.25">
      <c r="A88" s="382"/>
      <c r="B88" s="376"/>
      <c r="C88" s="377"/>
      <c r="D88" s="352"/>
      <c r="E88" s="353"/>
      <c r="F88" s="353"/>
      <c r="G88" s="353"/>
      <c r="H88" s="352"/>
      <c r="I88" s="352"/>
      <c r="J88" s="354"/>
      <c r="K88" s="353"/>
      <c r="L88" s="353"/>
      <c r="M88" s="353"/>
      <c r="N88" s="353"/>
      <c r="O88" s="353"/>
      <c r="P88" s="355"/>
      <c r="Q88" s="353"/>
      <c r="R88" s="353"/>
      <c r="S88" s="103"/>
      <c r="T88" s="105"/>
      <c r="U88" s="105"/>
    </row>
    <row r="89" spans="1:21" x14ac:dyDescent="0.25">
      <c r="A89" s="61"/>
      <c r="B89" s="594" t="s">
        <v>266</v>
      </c>
      <c r="C89" s="595"/>
      <c r="D89" s="62"/>
      <c r="E89" s="63"/>
      <c r="F89" s="63"/>
      <c r="G89" s="63"/>
      <c r="H89" s="62"/>
      <c r="I89" s="62"/>
      <c r="J89" s="221"/>
      <c r="K89" s="63"/>
      <c r="L89" s="63"/>
      <c r="M89" s="63"/>
      <c r="N89" s="63"/>
      <c r="O89" s="63"/>
      <c r="P89" s="64">
        <f>P74+P82+P87</f>
        <v>276910000</v>
      </c>
      <c r="Q89" s="63"/>
      <c r="R89" s="63"/>
      <c r="S89" s="104"/>
      <c r="T89" s="105"/>
      <c r="U89" s="105"/>
    </row>
    <row r="90" spans="1:21" x14ac:dyDescent="0.25">
      <c r="A90" s="469"/>
      <c r="B90" s="470"/>
      <c r="C90" s="470"/>
      <c r="D90" s="471"/>
      <c r="E90" s="472"/>
      <c r="F90" s="472"/>
      <c r="G90" s="472"/>
      <c r="H90" s="471"/>
      <c r="I90" s="471"/>
      <c r="J90" s="473"/>
      <c r="K90" s="472"/>
      <c r="L90" s="472"/>
      <c r="M90" s="472"/>
      <c r="N90" s="472"/>
      <c r="O90" s="472"/>
      <c r="P90" s="474"/>
      <c r="Q90" s="472"/>
      <c r="R90" s="472"/>
      <c r="S90" s="318"/>
      <c r="T90" s="105"/>
      <c r="U90" s="105"/>
    </row>
    <row r="91" spans="1:21" ht="15.75" x14ac:dyDescent="0.25">
      <c r="A91" s="579" t="s">
        <v>675</v>
      </c>
      <c r="B91" s="579"/>
      <c r="C91" s="579"/>
      <c r="D91" s="579"/>
      <c r="E91" s="579"/>
      <c r="F91" s="579"/>
      <c r="G91" s="579"/>
      <c r="H91" s="579"/>
      <c r="I91" s="579"/>
      <c r="J91" s="579"/>
      <c r="K91" s="579"/>
      <c r="L91" s="579"/>
      <c r="M91" s="579"/>
      <c r="N91" s="579"/>
      <c r="O91" s="579"/>
      <c r="P91" s="579"/>
      <c r="Q91" s="579"/>
      <c r="R91" s="579"/>
      <c r="S91" s="291"/>
      <c r="T91" s="105"/>
      <c r="U91" s="105"/>
    </row>
    <row r="92" spans="1:21" x14ac:dyDescent="0.25">
      <c r="A92" s="382">
        <v>1</v>
      </c>
      <c r="B92" s="424" t="s">
        <v>699</v>
      </c>
      <c r="C92" s="441"/>
      <c r="D92" s="352">
        <v>1</v>
      </c>
      <c r="E92" s="353"/>
      <c r="F92" s="353"/>
      <c r="G92" s="353" t="s">
        <v>700</v>
      </c>
      <c r="H92" s="352"/>
      <c r="I92" s="352" t="s">
        <v>638</v>
      </c>
      <c r="J92" s="389">
        <v>2022</v>
      </c>
      <c r="K92" s="353"/>
      <c r="L92" s="353"/>
      <c r="M92" s="353"/>
      <c r="N92" s="353"/>
      <c r="O92" s="353" t="s">
        <v>264</v>
      </c>
      <c r="P92" s="395">
        <v>8000000</v>
      </c>
      <c r="Q92" s="353"/>
      <c r="R92" s="353"/>
      <c r="S92" s="103" t="s">
        <v>5</v>
      </c>
      <c r="T92" s="105"/>
      <c r="U92" s="105"/>
    </row>
    <row r="93" spans="1:21" ht="30" x14ac:dyDescent="0.25">
      <c r="A93" s="382">
        <v>2</v>
      </c>
      <c r="B93" s="424" t="s">
        <v>703</v>
      </c>
      <c r="C93" s="441"/>
      <c r="D93" s="352">
        <v>2</v>
      </c>
      <c r="E93" s="353"/>
      <c r="F93" s="353"/>
      <c r="G93" s="353"/>
      <c r="H93" s="352"/>
      <c r="I93" s="352"/>
      <c r="J93" s="389">
        <v>2022</v>
      </c>
      <c r="K93" s="353"/>
      <c r="L93" s="353"/>
      <c r="M93" s="353"/>
      <c r="N93" s="353"/>
      <c r="O93" s="353"/>
      <c r="P93" s="395">
        <f>832500*2</f>
        <v>1665000</v>
      </c>
      <c r="Q93" s="353"/>
      <c r="R93" s="353"/>
      <c r="S93" s="314" t="s">
        <v>4</v>
      </c>
      <c r="T93" s="105"/>
      <c r="U93" s="105"/>
    </row>
    <row r="94" spans="1:21" x14ac:dyDescent="0.25">
      <c r="A94" s="390"/>
      <c r="B94" s="592" t="s">
        <v>676</v>
      </c>
      <c r="C94" s="593"/>
      <c r="D94" s="391"/>
      <c r="E94" s="392"/>
      <c r="F94" s="392"/>
      <c r="G94" s="392"/>
      <c r="H94" s="391"/>
      <c r="I94" s="391"/>
      <c r="J94" s="393"/>
      <c r="K94" s="392"/>
      <c r="L94" s="392"/>
      <c r="M94" s="392"/>
      <c r="N94" s="392"/>
      <c r="O94" s="392"/>
      <c r="P94" s="394">
        <f>SUM(P92:P93)</f>
        <v>9665000</v>
      </c>
      <c r="Q94" s="392"/>
      <c r="R94" s="392"/>
      <c r="S94" s="103"/>
      <c r="T94" s="105"/>
      <c r="U94" s="105"/>
    </row>
    <row r="95" spans="1:21" x14ac:dyDescent="0.25">
      <c r="A95" s="382"/>
      <c r="B95" s="440"/>
      <c r="C95" s="441"/>
      <c r="D95" s="352"/>
      <c r="E95" s="353"/>
      <c r="F95" s="353"/>
      <c r="G95" s="353"/>
      <c r="H95" s="352"/>
      <c r="I95" s="352"/>
      <c r="J95" s="354"/>
      <c r="K95" s="353"/>
      <c r="L95" s="353"/>
      <c r="M95" s="353"/>
      <c r="N95" s="353"/>
      <c r="O95" s="353"/>
      <c r="P95" s="355"/>
      <c r="Q95" s="353"/>
      <c r="R95" s="353"/>
      <c r="S95" s="103"/>
      <c r="T95" s="105"/>
      <c r="U95" s="105"/>
    </row>
    <row r="96" spans="1:21" x14ac:dyDescent="0.25">
      <c r="A96" s="61"/>
      <c r="B96" s="594" t="s">
        <v>266</v>
      </c>
      <c r="C96" s="595"/>
      <c r="D96" s="62"/>
      <c r="E96" s="63"/>
      <c r="F96" s="63"/>
      <c r="G96" s="63"/>
      <c r="H96" s="62"/>
      <c r="I96" s="62"/>
      <c r="J96" s="221"/>
      <c r="K96" s="63"/>
      <c r="L96" s="63"/>
      <c r="M96" s="63"/>
      <c r="N96" s="63"/>
      <c r="O96" s="63"/>
      <c r="P96" s="64">
        <f>P81+P89+P94</f>
        <v>286575000</v>
      </c>
      <c r="Q96" s="63"/>
      <c r="R96" s="63"/>
      <c r="S96" s="104"/>
      <c r="T96" s="105"/>
      <c r="U96" s="105"/>
    </row>
    <row r="97" spans="1:21" ht="15.75" x14ac:dyDescent="0.25">
      <c r="A97" s="579" t="s">
        <v>707</v>
      </c>
      <c r="B97" s="579"/>
      <c r="C97" s="579"/>
      <c r="D97" s="579"/>
      <c r="E97" s="579"/>
      <c r="F97" s="579"/>
      <c r="G97" s="579"/>
      <c r="H97" s="579"/>
      <c r="I97" s="579"/>
      <c r="J97" s="579"/>
      <c r="K97" s="579"/>
      <c r="L97" s="579"/>
      <c r="M97" s="579"/>
      <c r="N97" s="579"/>
      <c r="O97" s="579"/>
      <c r="P97" s="579"/>
      <c r="Q97" s="579"/>
      <c r="R97" s="579"/>
      <c r="S97" s="291"/>
    </row>
    <row r="98" spans="1:21" x14ac:dyDescent="0.25">
      <c r="A98" s="382">
        <v>1</v>
      </c>
      <c r="B98" s="424" t="s">
        <v>704</v>
      </c>
      <c r="C98" s="507"/>
      <c r="D98" s="352">
        <v>1</v>
      </c>
      <c r="E98" s="353"/>
      <c r="F98" s="353"/>
      <c r="G98" s="353" t="s">
        <v>705</v>
      </c>
      <c r="H98" s="352">
        <v>2500</v>
      </c>
      <c r="I98" s="352" t="s">
        <v>638</v>
      </c>
      <c r="J98" s="389">
        <v>2023</v>
      </c>
      <c r="K98" s="353"/>
      <c r="L98" s="353"/>
      <c r="M98" s="353"/>
      <c r="N98" s="353"/>
      <c r="O98" s="353" t="s">
        <v>264</v>
      </c>
      <c r="P98" s="395">
        <v>284000000</v>
      </c>
      <c r="Q98" s="353"/>
      <c r="R98" s="353"/>
      <c r="S98" s="270" t="s">
        <v>20</v>
      </c>
      <c r="T98" s="25"/>
      <c r="U98" s="25"/>
    </row>
    <row r="99" spans="1:21" x14ac:dyDescent="0.25">
      <c r="A99" s="382"/>
      <c r="B99" s="424"/>
      <c r="C99" s="507"/>
      <c r="D99" s="352"/>
      <c r="E99" s="353"/>
      <c r="F99" s="353"/>
      <c r="G99" s="353"/>
      <c r="H99" s="352"/>
      <c r="I99" s="352"/>
      <c r="J99" s="389"/>
      <c r="K99" s="353"/>
      <c r="L99" s="353"/>
      <c r="M99" s="353"/>
      <c r="N99" s="353"/>
      <c r="O99" s="353"/>
      <c r="P99" s="395"/>
      <c r="Q99" s="353"/>
      <c r="R99" s="353"/>
      <c r="S99" s="314"/>
      <c r="T99" s="25"/>
      <c r="U99" s="25"/>
    </row>
    <row r="100" spans="1:21" x14ac:dyDescent="0.25">
      <c r="A100" s="390"/>
      <c r="B100" s="592" t="s">
        <v>706</v>
      </c>
      <c r="C100" s="593"/>
      <c r="D100" s="391"/>
      <c r="E100" s="392"/>
      <c r="F100" s="392"/>
      <c r="G100" s="392"/>
      <c r="H100" s="391"/>
      <c r="I100" s="391"/>
      <c r="J100" s="393"/>
      <c r="K100" s="392"/>
      <c r="L100" s="392"/>
      <c r="M100" s="392"/>
      <c r="N100" s="392"/>
      <c r="O100" s="392"/>
      <c r="P100" s="394">
        <f>SUM(P98:P99)</f>
        <v>284000000</v>
      </c>
      <c r="Q100" s="392"/>
      <c r="R100" s="392"/>
      <c r="S100" s="103"/>
      <c r="T100" s="25"/>
      <c r="U100" s="25"/>
    </row>
    <row r="101" spans="1:21" x14ac:dyDescent="0.25">
      <c r="A101" s="382"/>
      <c r="B101" s="506"/>
      <c r="C101" s="507"/>
      <c r="D101" s="352"/>
      <c r="E101" s="353"/>
      <c r="F101" s="353"/>
      <c r="G101" s="353"/>
      <c r="H101" s="352"/>
      <c r="I101" s="352"/>
      <c r="J101" s="354"/>
      <c r="K101" s="353"/>
      <c r="L101" s="353"/>
      <c r="M101" s="353"/>
      <c r="N101" s="353"/>
      <c r="O101" s="353"/>
      <c r="P101" s="355"/>
      <c r="Q101" s="353"/>
      <c r="R101" s="353"/>
      <c r="S101" s="103"/>
      <c r="T101" s="25"/>
      <c r="U101" s="25"/>
    </row>
    <row r="102" spans="1:21" s="515" customFormat="1" x14ac:dyDescent="0.25">
      <c r="A102" s="505"/>
      <c r="B102" s="594" t="s">
        <v>266</v>
      </c>
      <c r="C102" s="595"/>
      <c r="D102" s="511"/>
      <c r="E102" s="512"/>
      <c r="F102" s="512"/>
      <c r="G102" s="512"/>
      <c r="H102" s="511"/>
      <c r="I102" s="511"/>
      <c r="J102" s="513"/>
      <c r="K102" s="512"/>
      <c r="L102" s="512"/>
      <c r="M102" s="512"/>
      <c r="N102" s="512"/>
      <c r="O102" s="512"/>
      <c r="P102" s="64">
        <f>P96+P100</f>
        <v>570575000</v>
      </c>
      <c r="Q102" s="512"/>
      <c r="R102" s="512"/>
      <c r="S102" s="514"/>
      <c r="T102" s="107"/>
      <c r="U102" s="107"/>
    </row>
    <row r="103" spans="1:21" ht="15.75" x14ac:dyDescent="0.25">
      <c r="A103" s="579" t="s">
        <v>726</v>
      </c>
      <c r="B103" s="579"/>
      <c r="C103" s="579"/>
      <c r="D103" s="579"/>
      <c r="E103" s="579"/>
      <c r="F103" s="579"/>
      <c r="G103" s="579"/>
      <c r="H103" s="579"/>
      <c r="I103" s="579"/>
      <c r="J103" s="579"/>
      <c r="K103" s="579"/>
      <c r="L103" s="579"/>
      <c r="M103" s="579"/>
      <c r="N103" s="579"/>
      <c r="O103" s="579"/>
      <c r="P103" s="579"/>
      <c r="Q103" s="579"/>
      <c r="R103" s="579"/>
      <c r="S103" s="291"/>
      <c r="T103" s="25"/>
      <c r="U103" s="25"/>
    </row>
    <row r="104" spans="1:21" ht="25.5" x14ac:dyDescent="0.25">
      <c r="A104" s="382">
        <v>1</v>
      </c>
      <c r="B104" s="424" t="s">
        <v>727</v>
      </c>
      <c r="C104" s="530"/>
      <c r="D104" s="351">
        <v>1</v>
      </c>
      <c r="E104" s="353"/>
      <c r="F104" s="353"/>
      <c r="G104" s="541" t="s">
        <v>728</v>
      </c>
      <c r="H104" s="352"/>
      <c r="I104" s="351" t="s">
        <v>638</v>
      </c>
      <c r="J104" s="389">
        <v>2024</v>
      </c>
      <c r="K104" s="353"/>
      <c r="L104" s="353"/>
      <c r="M104" s="353"/>
      <c r="N104" s="353"/>
      <c r="O104" s="353"/>
      <c r="P104" s="395">
        <v>3490000</v>
      </c>
      <c r="Q104" s="353"/>
      <c r="R104" s="353"/>
      <c r="S104" s="270" t="s">
        <v>6</v>
      </c>
    </row>
    <row r="105" spans="1:21" x14ac:dyDescent="0.25">
      <c r="A105" s="382">
        <v>2</v>
      </c>
      <c r="B105" s="424" t="s">
        <v>732</v>
      </c>
      <c r="C105" s="540"/>
      <c r="D105" s="351">
        <v>1</v>
      </c>
      <c r="E105" s="353"/>
      <c r="F105" s="353"/>
      <c r="G105" s="541"/>
      <c r="H105" s="352"/>
      <c r="I105" s="351" t="s">
        <v>638</v>
      </c>
      <c r="J105" s="389">
        <v>2024</v>
      </c>
      <c r="K105" s="353"/>
      <c r="L105" s="353"/>
      <c r="M105" s="353"/>
      <c r="N105" s="353"/>
      <c r="O105" s="353"/>
      <c r="P105" s="395">
        <v>15000000</v>
      </c>
      <c r="Q105" s="353"/>
      <c r="R105" s="353"/>
      <c r="S105" s="269" t="s">
        <v>5</v>
      </c>
    </row>
    <row r="106" spans="1:21" x14ac:dyDescent="0.25">
      <c r="A106" s="382"/>
      <c r="B106" s="424"/>
      <c r="C106" s="530"/>
      <c r="D106" s="352"/>
      <c r="E106" s="353"/>
      <c r="F106" s="353"/>
      <c r="G106" s="353"/>
      <c r="H106" s="352"/>
      <c r="I106" s="352"/>
      <c r="J106" s="389"/>
      <c r="K106" s="353"/>
      <c r="L106" s="353"/>
      <c r="M106" s="353"/>
      <c r="N106" s="353"/>
      <c r="O106" s="353"/>
      <c r="P106" s="395"/>
      <c r="Q106" s="353"/>
      <c r="R106" s="353"/>
      <c r="S106" s="314"/>
    </row>
    <row r="107" spans="1:21" x14ac:dyDescent="0.25">
      <c r="A107" s="390"/>
      <c r="B107" s="592" t="s">
        <v>733</v>
      </c>
      <c r="C107" s="593"/>
      <c r="D107" s="391"/>
      <c r="E107" s="392"/>
      <c r="F107" s="392"/>
      <c r="G107" s="392"/>
      <c r="H107" s="391"/>
      <c r="I107" s="391"/>
      <c r="J107" s="393"/>
      <c r="K107" s="392"/>
      <c r="L107" s="392"/>
      <c r="M107" s="392"/>
      <c r="N107" s="392"/>
      <c r="O107" s="392"/>
      <c r="P107" s="394">
        <f>SUM(P104:P106)</f>
        <v>18490000</v>
      </c>
      <c r="Q107" s="392"/>
      <c r="R107" s="392"/>
      <c r="S107" s="103"/>
    </row>
    <row r="108" spans="1:21" x14ac:dyDescent="0.25">
      <c r="A108" s="382"/>
      <c r="B108" s="529"/>
      <c r="C108" s="530"/>
      <c r="D108" s="352"/>
      <c r="E108" s="353"/>
      <c r="F108" s="353"/>
      <c r="G108" s="353"/>
      <c r="H108" s="352"/>
      <c r="I108" s="352"/>
      <c r="J108" s="354"/>
      <c r="K108" s="353"/>
      <c r="L108" s="353"/>
      <c r="M108" s="353"/>
      <c r="N108" s="353"/>
      <c r="O108" s="353"/>
      <c r="P108" s="355"/>
      <c r="Q108" s="353"/>
      <c r="R108" s="353"/>
      <c r="S108" s="103"/>
    </row>
    <row r="109" spans="1:21" x14ac:dyDescent="0.25">
      <c r="A109" s="531"/>
      <c r="B109" s="594" t="s">
        <v>266</v>
      </c>
      <c r="C109" s="595"/>
      <c r="D109" s="511"/>
      <c r="E109" s="512"/>
      <c r="F109" s="512"/>
      <c r="G109" s="512"/>
      <c r="H109" s="511"/>
      <c r="I109" s="511"/>
      <c r="J109" s="513"/>
      <c r="K109" s="512"/>
      <c r="L109" s="512"/>
      <c r="M109" s="512"/>
      <c r="N109" s="512"/>
      <c r="O109" s="512"/>
      <c r="P109" s="64">
        <f>P102+P107</f>
        <v>589065000</v>
      </c>
      <c r="Q109" s="512"/>
      <c r="R109" s="512"/>
      <c r="S109" s="558"/>
    </row>
    <row r="110" spans="1:21" ht="15.75" x14ac:dyDescent="0.25">
      <c r="A110" s="579" t="s">
        <v>747</v>
      </c>
      <c r="B110" s="579"/>
      <c r="C110" s="579"/>
      <c r="D110" s="579"/>
      <c r="E110" s="579"/>
      <c r="F110" s="579"/>
      <c r="G110" s="579"/>
      <c r="H110" s="579"/>
      <c r="I110" s="579"/>
      <c r="J110" s="579"/>
      <c r="K110" s="579"/>
      <c r="L110" s="579"/>
      <c r="M110" s="579"/>
      <c r="N110" s="579"/>
      <c r="O110" s="579"/>
      <c r="P110" s="579"/>
      <c r="Q110" s="579"/>
      <c r="R110" s="579"/>
      <c r="S110" s="559"/>
    </row>
    <row r="111" spans="1:21" x14ac:dyDescent="0.25">
      <c r="A111" s="382">
        <v>1</v>
      </c>
      <c r="B111" s="556" t="s">
        <v>732</v>
      </c>
      <c r="C111" s="554"/>
      <c r="D111" s="553">
        <v>1</v>
      </c>
      <c r="E111" s="353"/>
      <c r="F111" s="353"/>
      <c r="G111" s="352" t="s">
        <v>425</v>
      </c>
      <c r="H111" s="352"/>
      <c r="I111" s="352" t="s">
        <v>638</v>
      </c>
      <c r="J111" s="557">
        <v>2025</v>
      </c>
      <c r="K111" s="353"/>
      <c r="L111" s="353"/>
      <c r="M111" s="353"/>
      <c r="N111" s="353"/>
      <c r="O111" s="353"/>
      <c r="P111" s="395">
        <v>15000000</v>
      </c>
      <c r="Q111" s="353"/>
      <c r="R111" s="353"/>
      <c r="S111" s="560" t="s">
        <v>5</v>
      </c>
    </row>
    <row r="112" spans="1:21" x14ac:dyDescent="0.25">
      <c r="A112" s="382">
        <v>2</v>
      </c>
      <c r="B112" s="424" t="s">
        <v>748</v>
      </c>
      <c r="C112" s="555"/>
      <c r="D112" s="553">
        <v>1</v>
      </c>
      <c r="E112" s="353"/>
      <c r="F112" s="353"/>
      <c r="G112" s="352" t="s">
        <v>425</v>
      </c>
      <c r="H112" s="352"/>
      <c r="I112" s="352" t="s">
        <v>638</v>
      </c>
      <c r="J112" s="557">
        <v>2025</v>
      </c>
      <c r="K112" s="353"/>
      <c r="L112" s="353"/>
      <c r="M112" s="353"/>
      <c r="N112" s="353"/>
      <c r="O112" s="353"/>
      <c r="P112" s="395">
        <v>14650000</v>
      </c>
      <c r="Q112" s="353"/>
      <c r="R112" s="353"/>
      <c r="S112" s="560" t="s">
        <v>5</v>
      </c>
    </row>
    <row r="113" spans="1:19" x14ac:dyDescent="0.25">
      <c r="A113" s="382">
        <v>3</v>
      </c>
      <c r="B113" s="424" t="s">
        <v>749</v>
      </c>
      <c r="C113" s="555"/>
      <c r="D113" s="553">
        <v>1</v>
      </c>
      <c r="E113" s="353"/>
      <c r="F113" s="353"/>
      <c r="G113" s="353"/>
      <c r="H113" s="352"/>
      <c r="I113" s="352" t="s">
        <v>638</v>
      </c>
      <c r="J113" s="557">
        <v>2025</v>
      </c>
      <c r="K113" s="353"/>
      <c r="L113" s="353"/>
      <c r="M113" s="353"/>
      <c r="N113" s="353"/>
      <c r="O113" s="353"/>
      <c r="P113" s="395">
        <v>8500000</v>
      </c>
      <c r="Q113" s="353"/>
      <c r="R113" s="353"/>
      <c r="S113" s="560" t="s">
        <v>5</v>
      </c>
    </row>
    <row r="114" spans="1:19" x14ac:dyDescent="0.25">
      <c r="A114" s="382"/>
      <c r="B114" s="382"/>
      <c r="C114" s="555"/>
      <c r="D114" s="553"/>
      <c r="E114" s="353"/>
      <c r="F114" s="353"/>
      <c r="G114" s="353"/>
      <c r="H114" s="352"/>
      <c r="I114" s="352"/>
      <c r="J114" s="354"/>
      <c r="K114" s="353"/>
      <c r="L114" s="353"/>
      <c r="M114" s="353"/>
      <c r="N114" s="353"/>
      <c r="O114" s="353"/>
      <c r="P114" s="395"/>
      <c r="Q114" s="353"/>
      <c r="R114" s="353"/>
      <c r="S114" s="560"/>
    </row>
    <row r="115" spans="1:19" x14ac:dyDescent="0.25">
      <c r="A115" s="390"/>
      <c r="B115" s="592" t="s">
        <v>750</v>
      </c>
      <c r="C115" s="593"/>
      <c r="D115" s="391"/>
      <c r="E115" s="392"/>
      <c r="F115" s="392"/>
      <c r="G115" s="392"/>
      <c r="H115" s="391"/>
      <c r="I115" s="391"/>
      <c r="J115" s="393"/>
      <c r="K115" s="392"/>
      <c r="L115" s="392"/>
      <c r="M115" s="392"/>
      <c r="N115" s="392"/>
      <c r="O115" s="392"/>
      <c r="P115" s="394">
        <f>SUM(P111:P114)</f>
        <v>38150000</v>
      </c>
      <c r="Q115" s="392"/>
      <c r="R115" s="392"/>
      <c r="S115" s="561"/>
    </row>
    <row r="116" spans="1:19" x14ac:dyDescent="0.25">
      <c r="A116" s="549"/>
      <c r="B116" s="562"/>
      <c r="C116" s="384"/>
      <c r="D116" s="550"/>
      <c r="E116" s="551"/>
      <c r="F116" s="551"/>
      <c r="G116" s="551"/>
      <c r="H116" s="550"/>
      <c r="I116" s="550"/>
      <c r="J116" s="552"/>
      <c r="K116" s="551"/>
      <c r="L116" s="551"/>
      <c r="M116" s="551"/>
      <c r="N116" s="551"/>
      <c r="O116" s="551"/>
      <c r="P116" s="355"/>
      <c r="Q116" s="551"/>
      <c r="R116" s="551"/>
      <c r="S116" s="559"/>
    </row>
    <row r="117" spans="1:19" x14ac:dyDescent="0.25">
      <c r="A117" s="546"/>
      <c r="B117" s="594" t="s">
        <v>266</v>
      </c>
      <c r="C117" s="595"/>
      <c r="D117" s="511"/>
      <c r="E117" s="512"/>
      <c r="F117" s="512"/>
      <c r="G117" s="512"/>
      <c r="H117" s="511"/>
      <c r="I117" s="511"/>
      <c r="J117" s="513"/>
      <c r="K117" s="512"/>
      <c r="L117" s="512"/>
      <c r="M117" s="512"/>
      <c r="N117" s="512"/>
      <c r="O117" s="512"/>
      <c r="P117" s="64">
        <f>P109+P115</f>
        <v>627215000</v>
      </c>
      <c r="Q117" s="512"/>
      <c r="R117" s="512"/>
      <c r="S117" s="559"/>
    </row>
    <row r="118" spans="1:19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74"/>
      <c r="K118" s="25"/>
      <c r="L118" s="25"/>
      <c r="M118" s="25"/>
      <c r="N118" s="25"/>
      <c r="O118" s="25"/>
      <c r="P118" s="25"/>
      <c r="Q118" s="25"/>
      <c r="R118" s="25"/>
      <c r="S118" s="74"/>
    </row>
    <row r="119" spans="1:19" x14ac:dyDescent="0.25">
      <c r="A119" s="25"/>
      <c r="B119" s="25"/>
      <c r="C119" s="25"/>
      <c r="D119" s="25"/>
      <c r="E119" s="25"/>
      <c r="F119" s="25"/>
      <c r="G119" s="25"/>
      <c r="H119" s="25"/>
      <c r="I119" s="25"/>
      <c r="J119" s="74"/>
      <c r="K119" s="25"/>
      <c r="L119" s="25"/>
      <c r="M119" s="25"/>
      <c r="N119" s="25"/>
      <c r="O119" s="25"/>
      <c r="P119" s="307" t="str">
        <f>Tanah!N96</f>
        <v>Desa Klego, 31 Desember 2025</v>
      </c>
      <c r="Q119" s="25"/>
      <c r="R119" s="25"/>
      <c r="S119" s="74"/>
    </row>
    <row r="120" spans="1:19" x14ac:dyDescent="0.25">
      <c r="A120" s="25"/>
      <c r="B120" s="30" t="s">
        <v>196</v>
      </c>
      <c r="C120" s="25"/>
      <c r="D120" s="25"/>
      <c r="E120" s="25"/>
      <c r="F120" s="25"/>
      <c r="G120" s="25"/>
      <c r="H120" s="25"/>
      <c r="I120" s="25"/>
      <c r="J120" s="74"/>
      <c r="K120" s="25"/>
      <c r="L120" s="25"/>
      <c r="M120" s="25"/>
      <c r="N120" s="25"/>
      <c r="O120" s="25"/>
      <c r="Q120" s="25"/>
      <c r="R120" s="25"/>
      <c r="S120" s="74"/>
    </row>
    <row r="121" spans="1:19" x14ac:dyDescent="0.25">
      <c r="A121" s="25"/>
      <c r="B121" s="30" t="str">
        <f>Tanah!B98</f>
        <v>Kepala Desa Klego</v>
      </c>
      <c r="C121" s="25"/>
      <c r="D121" s="25"/>
      <c r="E121" s="25"/>
      <c r="F121" s="25"/>
      <c r="G121" s="25"/>
      <c r="H121" s="25"/>
      <c r="I121" s="25"/>
      <c r="J121" s="74"/>
      <c r="K121" s="25"/>
      <c r="L121" s="25"/>
      <c r="M121" s="25"/>
      <c r="N121" s="25"/>
      <c r="O121" s="25"/>
      <c r="P121" s="30" t="s">
        <v>197</v>
      </c>
      <c r="Q121" s="25"/>
      <c r="R121" s="25"/>
      <c r="S121" s="74"/>
    </row>
    <row r="122" spans="1:19" x14ac:dyDescent="0.25">
      <c r="A122" s="25"/>
      <c r="B122" s="30"/>
      <c r="C122" s="25"/>
      <c r="D122" s="25"/>
      <c r="E122" s="25"/>
      <c r="F122" s="25"/>
      <c r="G122" s="25"/>
      <c r="H122" s="25"/>
      <c r="I122" s="25"/>
      <c r="J122" s="74"/>
      <c r="K122" s="25"/>
      <c r="L122" s="25"/>
      <c r="M122" s="25"/>
      <c r="N122" s="25"/>
      <c r="O122" s="25"/>
      <c r="P122" s="30"/>
      <c r="Q122" s="25"/>
      <c r="R122" s="25"/>
      <c r="S122" s="74"/>
    </row>
    <row r="123" spans="1:19" x14ac:dyDescent="0.25">
      <c r="B123" s="30"/>
      <c r="C123" s="25"/>
      <c r="D123" s="25"/>
      <c r="E123" s="25"/>
      <c r="F123" s="25"/>
      <c r="G123" s="25"/>
      <c r="H123" s="25"/>
      <c r="I123" s="25"/>
      <c r="J123" s="74"/>
      <c r="K123" s="25"/>
      <c r="L123" s="25"/>
      <c r="M123" s="25"/>
      <c r="N123" s="25"/>
      <c r="O123" s="25"/>
      <c r="P123" s="30"/>
    </row>
    <row r="124" spans="1:19" x14ac:dyDescent="0.25">
      <c r="B124" s="30"/>
      <c r="C124" s="25"/>
      <c r="D124" s="25"/>
      <c r="E124" s="25"/>
      <c r="F124" s="25"/>
      <c r="G124" s="25"/>
      <c r="H124" s="25"/>
      <c r="I124" s="25"/>
      <c r="J124" s="74"/>
      <c r="K124" s="25"/>
      <c r="L124" s="25"/>
      <c r="M124" s="25"/>
      <c r="N124" s="25"/>
      <c r="O124" s="25"/>
    </row>
    <row r="125" spans="1:19" x14ac:dyDescent="0.25">
      <c r="B125" s="30" t="str">
        <f>Tanah!B102</f>
        <v>GUNTUR HERU SUPRAPTO, S.Pd</v>
      </c>
      <c r="C125" s="25"/>
      <c r="D125" s="25"/>
      <c r="E125" s="25"/>
      <c r="F125" s="25"/>
      <c r="G125" s="25"/>
      <c r="H125" s="25"/>
      <c r="I125" s="25"/>
      <c r="J125" s="74"/>
      <c r="K125" s="25"/>
      <c r="L125" s="25"/>
      <c r="M125" s="25"/>
      <c r="N125" s="25"/>
      <c r="O125" s="25"/>
      <c r="P125" s="30" t="str">
        <f>Tanah!N102</f>
        <v>PRATOMO RUDY ATMOKO</v>
      </c>
    </row>
  </sheetData>
  <mergeCells count="43">
    <mergeCell ref="B74:C74"/>
    <mergeCell ref="A110:R110"/>
    <mergeCell ref="B115:C115"/>
    <mergeCell ref="B117:C117"/>
    <mergeCell ref="A103:R103"/>
    <mergeCell ref="B107:C107"/>
    <mergeCell ref="B109:C109"/>
    <mergeCell ref="A76:R76"/>
    <mergeCell ref="B82:C82"/>
    <mergeCell ref="B89:C89"/>
    <mergeCell ref="A84:R84"/>
    <mergeCell ref="B87:C87"/>
    <mergeCell ref="A97:R97"/>
    <mergeCell ref="B100:C100"/>
    <mergeCell ref="B102:C102"/>
    <mergeCell ref="A91:R91"/>
    <mergeCell ref="B94:C94"/>
    <mergeCell ref="B96:C96"/>
    <mergeCell ref="A2:S2"/>
    <mergeCell ref="A3:S3"/>
    <mergeCell ref="S10:S12"/>
    <mergeCell ref="R10:R11"/>
    <mergeCell ref="J10:J11"/>
    <mergeCell ref="D10:D11"/>
    <mergeCell ref="B12:C12"/>
    <mergeCell ref="Q10:Q11"/>
    <mergeCell ref="A10:A11"/>
    <mergeCell ref="B10:C11"/>
    <mergeCell ref="I10:I11"/>
    <mergeCell ref="E10:F10"/>
    <mergeCell ref="G10:G11"/>
    <mergeCell ref="H10:H11"/>
    <mergeCell ref="K10:N10"/>
    <mergeCell ref="O10:O11"/>
    <mergeCell ref="B58:C58"/>
    <mergeCell ref="P10:P11"/>
    <mergeCell ref="A65:R65"/>
    <mergeCell ref="B69:C69"/>
    <mergeCell ref="B73:C73"/>
    <mergeCell ref="B62:C62"/>
    <mergeCell ref="B61:C61"/>
    <mergeCell ref="B60:C60"/>
    <mergeCell ref="B59:C59"/>
  </mergeCells>
  <printOptions horizontalCentered="1"/>
  <pageMargins left="0.39370078740157483" right="0.39370078740157483" top="0.98425196850393704" bottom="0.39370078740157483" header="0.31496062992125984" footer="0.31496062992125984"/>
  <pageSetup paperSize="10000" scale="62" orientation="landscape" r:id="rId1"/>
  <rowBreaks count="1" manualBreakCount="1">
    <brk id="81" max="18" man="1"/>
  </rowBreaks>
  <colBreaks count="1" manualBreakCount="1">
    <brk id="19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9"/>
  <sheetViews>
    <sheetView view="pageBreakPreview" topLeftCell="A7" zoomScale="89" zoomScaleNormal="90" zoomScaleSheetLayoutView="89" workbookViewId="0">
      <pane ySplit="4" topLeftCell="A60" activePane="bottomLeft" state="frozen"/>
      <selection activeCell="A7" sqref="A7"/>
      <selection pane="bottomLeft" activeCell="L72" sqref="L72"/>
    </sheetView>
  </sheetViews>
  <sheetFormatPr defaultColWidth="9.140625" defaultRowHeight="15" x14ac:dyDescent="0.25"/>
  <cols>
    <col min="1" max="1" width="3.85546875" style="159" bestFit="1" customWidth="1"/>
    <col min="2" max="2" width="17.140625" style="159" customWidth="1"/>
    <col min="3" max="3" width="2.140625" style="159" customWidth="1"/>
    <col min="4" max="4" width="7.28515625" style="159" customWidth="1"/>
    <col min="5" max="5" width="7.85546875" style="159" customWidth="1"/>
    <col min="6" max="6" width="9.5703125" style="159" customWidth="1"/>
    <col min="7" max="7" width="17.140625" style="159" customWidth="1"/>
    <col min="8" max="8" width="6.85546875" style="159" customWidth="1"/>
    <col min="9" max="9" width="11.5703125" style="159" customWidth="1"/>
    <col min="10" max="10" width="6.85546875" style="159" customWidth="1"/>
    <col min="11" max="11" width="8" style="159" customWidth="1"/>
    <col min="12" max="12" width="9.7109375" style="159" customWidth="1"/>
    <col min="13" max="13" width="13.140625" style="159" customWidth="1"/>
    <col min="14" max="14" width="6.7109375" style="159" customWidth="1"/>
    <col min="15" max="15" width="6.28515625" style="159" customWidth="1"/>
    <col min="16" max="16" width="17.28515625" style="159" customWidth="1"/>
    <col min="17" max="17" width="11.85546875" style="159" customWidth="1"/>
    <col min="18" max="18" width="11.42578125" style="159" customWidth="1"/>
    <col min="19" max="19" width="16.85546875" style="159" customWidth="1"/>
    <col min="20" max="20" width="15" style="159" bestFit="1" customWidth="1"/>
    <col min="21" max="21" width="10" style="159" customWidth="1"/>
    <col min="22" max="23" width="9.140625" style="159"/>
    <col min="24" max="24" width="15.140625" style="159" bestFit="1" customWidth="1"/>
    <col min="25" max="256" width="9.140625" style="159"/>
    <col min="257" max="257" width="3.85546875" style="159" bestFit="1" customWidth="1"/>
    <col min="258" max="258" width="17.140625" style="159" customWidth="1"/>
    <col min="259" max="259" width="2.140625" style="159" customWidth="1"/>
    <col min="260" max="260" width="7.28515625" style="159" customWidth="1"/>
    <col min="261" max="261" width="7.85546875" style="159" customWidth="1"/>
    <col min="262" max="262" width="9.5703125" style="159" customWidth="1"/>
    <col min="263" max="263" width="17.140625" style="159" customWidth="1"/>
    <col min="264" max="264" width="6.85546875" style="159" customWidth="1"/>
    <col min="265" max="265" width="11.5703125" style="159" customWidth="1"/>
    <col min="266" max="266" width="6.85546875" style="159" customWidth="1"/>
    <col min="267" max="267" width="8" style="159" customWidth="1"/>
    <col min="268" max="268" width="9.7109375" style="159" customWidth="1"/>
    <col min="269" max="269" width="13.140625" style="159" customWidth="1"/>
    <col min="270" max="270" width="6.7109375" style="159" customWidth="1"/>
    <col min="271" max="271" width="6.28515625" style="159" customWidth="1"/>
    <col min="272" max="272" width="17.28515625" style="159" customWidth="1"/>
    <col min="273" max="273" width="11.85546875" style="159" customWidth="1"/>
    <col min="274" max="274" width="11.42578125" style="159" customWidth="1"/>
    <col min="275" max="275" width="9.140625" style="159"/>
    <col min="276" max="276" width="15" style="159" bestFit="1" customWidth="1"/>
    <col min="277" max="277" width="10" style="159" customWidth="1"/>
    <col min="278" max="512" width="9.140625" style="159"/>
    <col min="513" max="513" width="3.85546875" style="159" bestFit="1" customWidth="1"/>
    <col min="514" max="514" width="17.140625" style="159" customWidth="1"/>
    <col min="515" max="515" width="2.140625" style="159" customWidth="1"/>
    <col min="516" max="516" width="7.28515625" style="159" customWidth="1"/>
    <col min="517" max="517" width="7.85546875" style="159" customWidth="1"/>
    <col min="518" max="518" width="9.5703125" style="159" customWidth="1"/>
    <col min="519" max="519" width="17.140625" style="159" customWidth="1"/>
    <col min="520" max="520" width="6.85546875" style="159" customWidth="1"/>
    <col min="521" max="521" width="11.5703125" style="159" customWidth="1"/>
    <col min="522" max="522" width="6.85546875" style="159" customWidth="1"/>
    <col min="523" max="523" width="8" style="159" customWidth="1"/>
    <col min="524" max="524" width="9.7109375" style="159" customWidth="1"/>
    <col min="525" max="525" width="13.140625" style="159" customWidth="1"/>
    <col min="526" max="526" width="6.7109375" style="159" customWidth="1"/>
    <col min="527" max="527" width="6.28515625" style="159" customWidth="1"/>
    <col min="528" max="528" width="17.28515625" style="159" customWidth="1"/>
    <col min="529" max="529" width="11.85546875" style="159" customWidth="1"/>
    <col min="530" max="530" width="11.42578125" style="159" customWidth="1"/>
    <col min="531" max="531" width="9.140625" style="159"/>
    <col min="532" max="532" width="15" style="159" bestFit="1" customWidth="1"/>
    <col min="533" max="533" width="10" style="159" customWidth="1"/>
    <col min="534" max="768" width="9.140625" style="159"/>
    <col min="769" max="769" width="3.85546875" style="159" bestFit="1" customWidth="1"/>
    <col min="770" max="770" width="17.140625" style="159" customWidth="1"/>
    <col min="771" max="771" width="2.140625" style="159" customWidth="1"/>
    <col min="772" max="772" width="7.28515625" style="159" customWidth="1"/>
    <col min="773" max="773" width="7.85546875" style="159" customWidth="1"/>
    <col min="774" max="774" width="9.5703125" style="159" customWidth="1"/>
    <col min="775" max="775" width="17.140625" style="159" customWidth="1"/>
    <col min="776" max="776" width="6.85546875" style="159" customWidth="1"/>
    <col min="777" max="777" width="11.5703125" style="159" customWidth="1"/>
    <col min="778" max="778" width="6.85546875" style="159" customWidth="1"/>
    <col min="779" max="779" width="8" style="159" customWidth="1"/>
    <col min="780" max="780" width="9.7109375" style="159" customWidth="1"/>
    <col min="781" max="781" width="13.140625" style="159" customWidth="1"/>
    <col min="782" max="782" width="6.7109375" style="159" customWidth="1"/>
    <col min="783" max="783" width="6.28515625" style="159" customWidth="1"/>
    <col min="784" max="784" width="17.28515625" style="159" customWidth="1"/>
    <col min="785" max="785" width="11.85546875" style="159" customWidth="1"/>
    <col min="786" max="786" width="11.42578125" style="159" customWidth="1"/>
    <col min="787" max="787" width="9.140625" style="159"/>
    <col min="788" max="788" width="15" style="159" bestFit="1" customWidth="1"/>
    <col min="789" max="789" width="10" style="159" customWidth="1"/>
    <col min="790" max="1024" width="9.140625" style="159"/>
    <col min="1025" max="1025" width="3.85546875" style="159" bestFit="1" customWidth="1"/>
    <col min="1026" max="1026" width="17.140625" style="159" customWidth="1"/>
    <col min="1027" max="1027" width="2.140625" style="159" customWidth="1"/>
    <col min="1028" max="1028" width="7.28515625" style="159" customWidth="1"/>
    <col min="1029" max="1029" width="7.85546875" style="159" customWidth="1"/>
    <col min="1030" max="1030" width="9.5703125" style="159" customWidth="1"/>
    <col min="1031" max="1031" width="17.140625" style="159" customWidth="1"/>
    <col min="1032" max="1032" width="6.85546875" style="159" customWidth="1"/>
    <col min="1033" max="1033" width="11.5703125" style="159" customWidth="1"/>
    <col min="1034" max="1034" width="6.85546875" style="159" customWidth="1"/>
    <col min="1035" max="1035" width="8" style="159" customWidth="1"/>
    <col min="1036" max="1036" width="9.7109375" style="159" customWidth="1"/>
    <col min="1037" max="1037" width="13.140625" style="159" customWidth="1"/>
    <col min="1038" max="1038" width="6.7109375" style="159" customWidth="1"/>
    <col min="1039" max="1039" width="6.28515625" style="159" customWidth="1"/>
    <col min="1040" max="1040" width="17.28515625" style="159" customWidth="1"/>
    <col min="1041" max="1041" width="11.85546875" style="159" customWidth="1"/>
    <col min="1042" max="1042" width="11.42578125" style="159" customWidth="1"/>
    <col min="1043" max="1043" width="9.140625" style="159"/>
    <col min="1044" max="1044" width="15" style="159" bestFit="1" customWidth="1"/>
    <col min="1045" max="1045" width="10" style="159" customWidth="1"/>
    <col min="1046" max="1280" width="9.140625" style="159"/>
    <col min="1281" max="1281" width="3.85546875" style="159" bestFit="1" customWidth="1"/>
    <col min="1282" max="1282" width="17.140625" style="159" customWidth="1"/>
    <col min="1283" max="1283" width="2.140625" style="159" customWidth="1"/>
    <col min="1284" max="1284" width="7.28515625" style="159" customWidth="1"/>
    <col min="1285" max="1285" width="7.85546875" style="159" customWidth="1"/>
    <col min="1286" max="1286" width="9.5703125" style="159" customWidth="1"/>
    <col min="1287" max="1287" width="17.140625" style="159" customWidth="1"/>
    <col min="1288" max="1288" width="6.85546875" style="159" customWidth="1"/>
    <col min="1289" max="1289" width="11.5703125" style="159" customWidth="1"/>
    <col min="1290" max="1290" width="6.85546875" style="159" customWidth="1"/>
    <col min="1291" max="1291" width="8" style="159" customWidth="1"/>
    <col min="1292" max="1292" width="9.7109375" style="159" customWidth="1"/>
    <col min="1293" max="1293" width="13.140625" style="159" customWidth="1"/>
    <col min="1294" max="1294" width="6.7109375" style="159" customWidth="1"/>
    <col min="1295" max="1295" width="6.28515625" style="159" customWidth="1"/>
    <col min="1296" max="1296" width="17.28515625" style="159" customWidth="1"/>
    <col min="1297" max="1297" width="11.85546875" style="159" customWidth="1"/>
    <col min="1298" max="1298" width="11.42578125" style="159" customWidth="1"/>
    <col min="1299" max="1299" width="9.140625" style="159"/>
    <col min="1300" max="1300" width="15" style="159" bestFit="1" customWidth="1"/>
    <col min="1301" max="1301" width="10" style="159" customWidth="1"/>
    <col min="1302" max="1536" width="9.140625" style="159"/>
    <col min="1537" max="1537" width="3.85546875" style="159" bestFit="1" customWidth="1"/>
    <col min="1538" max="1538" width="17.140625" style="159" customWidth="1"/>
    <col min="1539" max="1539" width="2.140625" style="159" customWidth="1"/>
    <col min="1540" max="1540" width="7.28515625" style="159" customWidth="1"/>
    <col min="1541" max="1541" width="7.85546875" style="159" customWidth="1"/>
    <col min="1542" max="1542" width="9.5703125" style="159" customWidth="1"/>
    <col min="1543" max="1543" width="17.140625" style="159" customWidth="1"/>
    <col min="1544" max="1544" width="6.85546875" style="159" customWidth="1"/>
    <col min="1545" max="1545" width="11.5703125" style="159" customWidth="1"/>
    <col min="1546" max="1546" width="6.85546875" style="159" customWidth="1"/>
    <col min="1547" max="1547" width="8" style="159" customWidth="1"/>
    <col min="1548" max="1548" width="9.7109375" style="159" customWidth="1"/>
    <col min="1549" max="1549" width="13.140625" style="159" customWidth="1"/>
    <col min="1550" max="1550" width="6.7109375" style="159" customWidth="1"/>
    <col min="1551" max="1551" width="6.28515625" style="159" customWidth="1"/>
    <col min="1552" max="1552" width="17.28515625" style="159" customWidth="1"/>
    <col min="1553" max="1553" width="11.85546875" style="159" customWidth="1"/>
    <col min="1554" max="1554" width="11.42578125" style="159" customWidth="1"/>
    <col min="1555" max="1555" width="9.140625" style="159"/>
    <col min="1556" max="1556" width="15" style="159" bestFit="1" customWidth="1"/>
    <col min="1557" max="1557" width="10" style="159" customWidth="1"/>
    <col min="1558" max="1792" width="9.140625" style="159"/>
    <col min="1793" max="1793" width="3.85546875" style="159" bestFit="1" customWidth="1"/>
    <col min="1794" max="1794" width="17.140625" style="159" customWidth="1"/>
    <col min="1795" max="1795" width="2.140625" style="159" customWidth="1"/>
    <col min="1796" max="1796" width="7.28515625" style="159" customWidth="1"/>
    <col min="1797" max="1797" width="7.85546875" style="159" customWidth="1"/>
    <col min="1798" max="1798" width="9.5703125" style="159" customWidth="1"/>
    <col min="1799" max="1799" width="17.140625" style="159" customWidth="1"/>
    <col min="1800" max="1800" width="6.85546875" style="159" customWidth="1"/>
    <col min="1801" max="1801" width="11.5703125" style="159" customWidth="1"/>
    <col min="1802" max="1802" width="6.85546875" style="159" customWidth="1"/>
    <col min="1803" max="1803" width="8" style="159" customWidth="1"/>
    <col min="1804" max="1804" width="9.7109375" style="159" customWidth="1"/>
    <col min="1805" max="1805" width="13.140625" style="159" customWidth="1"/>
    <col min="1806" max="1806" width="6.7109375" style="159" customWidth="1"/>
    <col min="1807" max="1807" width="6.28515625" style="159" customWidth="1"/>
    <col min="1808" max="1808" width="17.28515625" style="159" customWidth="1"/>
    <col min="1809" max="1809" width="11.85546875" style="159" customWidth="1"/>
    <col min="1810" max="1810" width="11.42578125" style="159" customWidth="1"/>
    <col min="1811" max="1811" width="9.140625" style="159"/>
    <col min="1812" max="1812" width="15" style="159" bestFit="1" customWidth="1"/>
    <col min="1813" max="1813" width="10" style="159" customWidth="1"/>
    <col min="1814" max="2048" width="9.140625" style="159"/>
    <col min="2049" max="2049" width="3.85546875" style="159" bestFit="1" customWidth="1"/>
    <col min="2050" max="2050" width="17.140625" style="159" customWidth="1"/>
    <col min="2051" max="2051" width="2.140625" style="159" customWidth="1"/>
    <col min="2052" max="2052" width="7.28515625" style="159" customWidth="1"/>
    <col min="2053" max="2053" width="7.85546875" style="159" customWidth="1"/>
    <col min="2054" max="2054" width="9.5703125" style="159" customWidth="1"/>
    <col min="2055" max="2055" width="17.140625" style="159" customWidth="1"/>
    <col min="2056" max="2056" width="6.85546875" style="159" customWidth="1"/>
    <col min="2057" max="2057" width="11.5703125" style="159" customWidth="1"/>
    <col min="2058" max="2058" width="6.85546875" style="159" customWidth="1"/>
    <col min="2059" max="2059" width="8" style="159" customWidth="1"/>
    <col min="2060" max="2060" width="9.7109375" style="159" customWidth="1"/>
    <col min="2061" max="2061" width="13.140625" style="159" customWidth="1"/>
    <col min="2062" max="2062" width="6.7109375" style="159" customWidth="1"/>
    <col min="2063" max="2063" width="6.28515625" style="159" customWidth="1"/>
    <col min="2064" max="2064" width="17.28515625" style="159" customWidth="1"/>
    <col min="2065" max="2065" width="11.85546875" style="159" customWidth="1"/>
    <col min="2066" max="2066" width="11.42578125" style="159" customWidth="1"/>
    <col min="2067" max="2067" width="9.140625" style="159"/>
    <col min="2068" max="2068" width="15" style="159" bestFit="1" customWidth="1"/>
    <col min="2069" max="2069" width="10" style="159" customWidth="1"/>
    <col min="2070" max="2304" width="9.140625" style="159"/>
    <col min="2305" max="2305" width="3.85546875" style="159" bestFit="1" customWidth="1"/>
    <col min="2306" max="2306" width="17.140625" style="159" customWidth="1"/>
    <col min="2307" max="2307" width="2.140625" style="159" customWidth="1"/>
    <col min="2308" max="2308" width="7.28515625" style="159" customWidth="1"/>
    <col min="2309" max="2309" width="7.85546875" style="159" customWidth="1"/>
    <col min="2310" max="2310" width="9.5703125" style="159" customWidth="1"/>
    <col min="2311" max="2311" width="17.140625" style="159" customWidth="1"/>
    <col min="2312" max="2312" width="6.85546875" style="159" customWidth="1"/>
    <col min="2313" max="2313" width="11.5703125" style="159" customWidth="1"/>
    <col min="2314" max="2314" width="6.85546875" style="159" customWidth="1"/>
    <col min="2315" max="2315" width="8" style="159" customWidth="1"/>
    <col min="2316" max="2316" width="9.7109375" style="159" customWidth="1"/>
    <col min="2317" max="2317" width="13.140625" style="159" customWidth="1"/>
    <col min="2318" max="2318" width="6.7109375" style="159" customWidth="1"/>
    <col min="2319" max="2319" width="6.28515625" style="159" customWidth="1"/>
    <col min="2320" max="2320" width="17.28515625" style="159" customWidth="1"/>
    <col min="2321" max="2321" width="11.85546875" style="159" customWidth="1"/>
    <col min="2322" max="2322" width="11.42578125" style="159" customWidth="1"/>
    <col min="2323" max="2323" width="9.140625" style="159"/>
    <col min="2324" max="2324" width="15" style="159" bestFit="1" customWidth="1"/>
    <col min="2325" max="2325" width="10" style="159" customWidth="1"/>
    <col min="2326" max="2560" width="9.140625" style="159"/>
    <col min="2561" max="2561" width="3.85546875" style="159" bestFit="1" customWidth="1"/>
    <col min="2562" max="2562" width="17.140625" style="159" customWidth="1"/>
    <col min="2563" max="2563" width="2.140625" style="159" customWidth="1"/>
    <col min="2564" max="2564" width="7.28515625" style="159" customWidth="1"/>
    <col min="2565" max="2565" width="7.85546875" style="159" customWidth="1"/>
    <col min="2566" max="2566" width="9.5703125" style="159" customWidth="1"/>
    <col min="2567" max="2567" width="17.140625" style="159" customWidth="1"/>
    <col min="2568" max="2568" width="6.85546875" style="159" customWidth="1"/>
    <col min="2569" max="2569" width="11.5703125" style="159" customWidth="1"/>
    <col min="2570" max="2570" width="6.85546875" style="159" customWidth="1"/>
    <col min="2571" max="2571" width="8" style="159" customWidth="1"/>
    <col min="2572" max="2572" width="9.7109375" style="159" customWidth="1"/>
    <col min="2573" max="2573" width="13.140625" style="159" customWidth="1"/>
    <col min="2574" max="2574" width="6.7109375" style="159" customWidth="1"/>
    <col min="2575" max="2575" width="6.28515625" style="159" customWidth="1"/>
    <col min="2576" max="2576" width="17.28515625" style="159" customWidth="1"/>
    <col min="2577" max="2577" width="11.85546875" style="159" customWidth="1"/>
    <col min="2578" max="2578" width="11.42578125" style="159" customWidth="1"/>
    <col min="2579" max="2579" width="9.140625" style="159"/>
    <col min="2580" max="2580" width="15" style="159" bestFit="1" customWidth="1"/>
    <col min="2581" max="2581" width="10" style="159" customWidth="1"/>
    <col min="2582" max="2816" width="9.140625" style="159"/>
    <col min="2817" max="2817" width="3.85546875" style="159" bestFit="1" customWidth="1"/>
    <col min="2818" max="2818" width="17.140625" style="159" customWidth="1"/>
    <col min="2819" max="2819" width="2.140625" style="159" customWidth="1"/>
    <col min="2820" max="2820" width="7.28515625" style="159" customWidth="1"/>
    <col min="2821" max="2821" width="7.85546875" style="159" customWidth="1"/>
    <col min="2822" max="2822" width="9.5703125" style="159" customWidth="1"/>
    <col min="2823" max="2823" width="17.140625" style="159" customWidth="1"/>
    <col min="2824" max="2824" width="6.85546875" style="159" customWidth="1"/>
    <col min="2825" max="2825" width="11.5703125" style="159" customWidth="1"/>
    <col min="2826" max="2826" width="6.85546875" style="159" customWidth="1"/>
    <col min="2827" max="2827" width="8" style="159" customWidth="1"/>
    <col min="2828" max="2828" width="9.7109375" style="159" customWidth="1"/>
    <col min="2829" max="2829" width="13.140625" style="159" customWidth="1"/>
    <col min="2830" max="2830" width="6.7109375" style="159" customWidth="1"/>
    <col min="2831" max="2831" width="6.28515625" style="159" customWidth="1"/>
    <col min="2832" max="2832" width="17.28515625" style="159" customWidth="1"/>
    <col min="2833" max="2833" width="11.85546875" style="159" customWidth="1"/>
    <col min="2834" max="2834" width="11.42578125" style="159" customWidth="1"/>
    <col min="2835" max="2835" width="9.140625" style="159"/>
    <col min="2836" max="2836" width="15" style="159" bestFit="1" customWidth="1"/>
    <col min="2837" max="2837" width="10" style="159" customWidth="1"/>
    <col min="2838" max="3072" width="9.140625" style="159"/>
    <col min="3073" max="3073" width="3.85546875" style="159" bestFit="1" customWidth="1"/>
    <col min="3074" max="3074" width="17.140625" style="159" customWidth="1"/>
    <col min="3075" max="3075" width="2.140625" style="159" customWidth="1"/>
    <col min="3076" max="3076" width="7.28515625" style="159" customWidth="1"/>
    <col min="3077" max="3077" width="7.85546875" style="159" customWidth="1"/>
    <col min="3078" max="3078" width="9.5703125" style="159" customWidth="1"/>
    <col min="3079" max="3079" width="17.140625" style="159" customWidth="1"/>
    <col min="3080" max="3080" width="6.85546875" style="159" customWidth="1"/>
    <col min="3081" max="3081" width="11.5703125" style="159" customWidth="1"/>
    <col min="3082" max="3082" width="6.85546875" style="159" customWidth="1"/>
    <col min="3083" max="3083" width="8" style="159" customWidth="1"/>
    <col min="3084" max="3084" width="9.7109375" style="159" customWidth="1"/>
    <col min="3085" max="3085" width="13.140625" style="159" customWidth="1"/>
    <col min="3086" max="3086" width="6.7109375" style="159" customWidth="1"/>
    <col min="3087" max="3087" width="6.28515625" style="159" customWidth="1"/>
    <col min="3088" max="3088" width="17.28515625" style="159" customWidth="1"/>
    <col min="3089" max="3089" width="11.85546875" style="159" customWidth="1"/>
    <col min="3090" max="3090" width="11.42578125" style="159" customWidth="1"/>
    <col min="3091" max="3091" width="9.140625" style="159"/>
    <col min="3092" max="3092" width="15" style="159" bestFit="1" customWidth="1"/>
    <col min="3093" max="3093" width="10" style="159" customWidth="1"/>
    <col min="3094" max="3328" width="9.140625" style="159"/>
    <col min="3329" max="3329" width="3.85546875" style="159" bestFit="1" customWidth="1"/>
    <col min="3330" max="3330" width="17.140625" style="159" customWidth="1"/>
    <col min="3331" max="3331" width="2.140625" style="159" customWidth="1"/>
    <col min="3332" max="3332" width="7.28515625" style="159" customWidth="1"/>
    <col min="3333" max="3333" width="7.85546875" style="159" customWidth="1"/>
    <col min="3334" max="3334" width="9.5703125" style="159" customWidth="1"/>
    <col min="3335" max="3335" width="17.140625" style="159" customWidth="1"/>
    <col min="3336" max="3336" width="6.85546875" style="159" customWidth="1"/>
    <col min="3337" max="3337" width="11.5703125" style="159" customWidth="1"/>
    <col min="3338" max="3338" width="6.85546875" style="159" customWidth="1"/>
    <col min="3339" max="3339" width="8" style="159" customWidth="1"/>
    <col min="3340" max="3340" width="9.7109375" style="159" customWidth="1"/>
    <col min="3341" max="3341" width="13.140625" style="159" customWidth="1"/>
    <col min="3342" max="3342" width="6.7109375" style="159" customWidth="1"/>
    <col min="3343" max="3343" width="6.28515625" style="159" customWidth="1"/>
    <col min="3344" max="3344" width="17.28515625" style="159" customWidth="1"/>
    <col min="3345" max="3345" width="11.85546875" style="159" customWidth="1"/>
    <col min="3346" max="3346" width="11.42578125" style="159" customWidth="1"/>
    <col min="3347" max="3347" width="9.140625" style="159"/>
    <col min="3348" max="3348" width="15" style="159" bestFit="1" customWidth="1"/>
    <col min="3349" max="3349" width="10" style="159" customWidth="1"/>
    <col min="3350" max="3584" width="9.140625" style="159"/>
    <col min="3585" max="3585" width="3.85546875" style="159" bestFit="1" customWidth="1"/>
    <col min="3586" max="3586" width="17.140625" style="159" customWidth="1"/>
    <col min="3587" max="3587" width="2.140625" style="159" customWidth="1"/>
    <col min="3588" max="3588" width="7.28515625" style="159" customWidth="1"/>
    <col min="3589" max="3589" width="7.85546875" style="159" customWidth="1"/>
    <col min="3590" max="3590" width="9.5703125" style="159" customWidth="1"/>
    <col min="3591" max="3591" width="17.140625" style="159" customWidth="1"/>
    <col min="3592" max="3592" width="6.85546875" style="159" customWidth="1"/>
    <col min="3593" max="3593" width="11.5703125" style="159" customWidth="1"/>
    <col min="3594" max="3594" width="6.85546875" style="159" customWidth="1"/>
    <col min="3595" max="3595" width="8" style="159" customWidth="1"/>
    <col min="3596" max="3596" width="9.7109375" style="159" customWidth="1"/>
    <col min="3597" max="3597" width="13.140625" style="159" customWidth="1"/>
    <col min="3598" max="3598" width="6.7109375" style="159" customWidth="1"/>
    <col min="3599" max="3599" width="6.28515625" style="159" customWidth="1"/>
    <col min="3600" max="3600" width="17.28515625" style="159" customWidth="1"/>
    <col min="3601" max="3601" width="11.85546875" style="159" customWidth="1"/>
    <col min="3602" max="3602" width="11.42578125" style="159" customWidth="1"/>
    <col min="3603" max="3603" width="9.140625" style="159"/>
    <col min="3604" max="3604" width="15" style="159" bestFit="1" customWidth="1"/>
    <col min="3605" max="3605" width="10" style="159" customWidth="1"/>
    <col min="3606" max="3840" width="9.140625" style="159"/>
    <col min="3841" max="3841" width="3.85546875" style="159" bestFit="1" customWidth="1"/>
    <col min="3842" max="3842" width="17.140625" style="159" customWidth="1"/>
    <col min="3843" max="3843" width="2.140625" style="159" customWidth="1"/>
    <col min="3844" max="3844" width="7.28515625" style="159" customWidth="1"/>
    <col min="3845" max="3845" width="7.85546875" style="159" customWidth="1"/>
    <col min="3846" max="3846" width="9.5703125" style="159" customWidth="1"/>
    <col min="3847" max="3847" width="17.140625" style="159" customWidth="1"/>
    <col min="3848" max="3848" width="6.85546875" style="159" customWidth="1"/>
    <col min="3849" max="3849" width="11.5703125" style="159" customWidth="1"/>
    <col min="3850" max="3850" width="6.85546875" style="159" customWidth="1"/>
    <col min="3851" max="3851" width="8" style="159" customWidth="1"/>
    <col min="3852" max="3852" width="9.7109375" style="159" customWidth="1"/>
    <col min="3853" max="3853" width="13.140625" style="159" customWidth="1"/>
    <col min="3854" max="3854" width="6.7109375" style="159" customWidth="1"/>
    <col min="3855" max="3855" width="6.28515625" style="159" customWidth="1"/>
    <col min="3856" max="3856" width="17.28515625" style="159" customWidth="1"/>
    <col min="3857" max="3857" width="11.85546875" style="159" customWidth="1"/>
    <col min="3858" max="3858" width="11.42578125" style="159" customWidth="1"/>
    <col min="3859" max="3859" width="9.140625" style="159"/>
    <col min="3860" max="3860" width="15" style="159" bestFit="1" customWidth="1"/>
    <col min="3861" max="3861" width="10" style="159" customWidth="1"/>
    <col min="3862" max="4096" width="9.140625" style="159"/>
    <col min="4097" max="4097" width="3.85546875" style="159" bestFit="1" customWidth="1"/>
    <col min="4098" max="4098" width="17.140625" style="159" customWidth="1"/>
    <col min="4099" max="4099" width="2.140625" style="159" customWidth="1"/>
    <col min="4100" max="4100" width="7.28515625" style="159" customWidth="1"/>
    <col min="4101" max="4101" width="7.85546875" style="159" customWidth="1"/>
    <col min="4102" max="4102" width="9.5703125" style="159" customWidth="1"/>
    <col min="4103" max="4103" width="17.140625" style="159" customWidth="1"/>
    <col min="4104" max="4104" width="6.85546875" style="159" customWidth="1"/>
    <col min="4105" max="4105" width="11.5703125" style="159" customWidth="1"/>
    <col min="4106" max="4106" width="6.85546875" style="159" customWidth="1"/>
    <col min="4107" max="4107" width="8" style="159" customWidth="1"/>
    <col min="4108" max="4108" width="9.7109375" style="159" customWidth="1"/>
    <col min="4109" max="4109" width="13.140625" style="159" customWidth="1"/>
    <col min="4110" max="4110" width="6.7109375" style="159" customWidth="1"/>
    <col min="4111" max="4111" width="6.28515625" style="159" customWidth="1"/>
    <col min="4112" max="4112" width="17.28515625" style="159" customWidth="1"/>
    <col min="4113" max="4113" width="11.85546875" style="159" customWidth="1"/>
    <col min="4114" max="4114" width="11.42578125" style="159" customWidth="1"/>
    <col min="4115" max="4115" width="9.140625" style="159"/>
    <col min="4116" max="4116" width="15" style="159" bestFit="1" customWidth="1"/>
    <col min="4117" max="4117" width="10" style="159" customWidth="1"/>
    <col min="4118" max="4352" width="9.140625" style="159"/>
    <col min="4353" max="4353" width="3.85546875" style="159" bestFit="1" customWidth="1"/>
    <col min="4354" max="4354" width="17.140625" style="159" customWidth="1"/>
    <col min="4355" max="4355" width="2.140625" style="159" customWidth="1"/>
    <col min="4356" max="4356" width="7.28515625" style="159" customWidth="1"/>
    <col min="4357" max="4357" width="7.85546875" style="159" customWidth="1"/>
    <col min="4358" max="4358" width="9.5703125" style="159" customWidth="1"/>
    <col min="4359" max="4359" width="17.140625" style="159" customWidth="1"/>
    <col min="4360" max="4360" width="6.85546875" style="159" customWidth="1"/>
    <col min="4361" max="4361" width="11.5703125" style="159" customWidth="1"/>
    <col min="4362" max="4362" width="6.85546875" style="159" customWidth="1"/>
    <col min="4363" max="4363" width="8" style="159" customWidth="1"/>
    <col min="4364" max="4364" width="9.7109375" style="159" customWidth="1"/>
    <col min="4365" max="4365" width="13.140625" style="159" customWidth="1"/>
    <col min="4366" max="4366" width="6.7109375" style="159" customWidth="1"/>
    <col min="4367" max="4367" width="6.28515625" style="159" customWidth="1"/>
    <col min="4368" max="4368" width="17.28515625" style="159" customWidth="1"/>
    <col min="4369" max="4369" width="11.85546875" style="159" customWidth="1"/>
    <col min="4370" max="4370" width="11.42578125" style="159" customWidth="1"/>
    <col min="4371" max="4371" width="9.140625" style="159"/>
    <col min="4372" max="4372" width="15" style="159" bestFit="1" customWidth="1"/>
    <col min="4373" max="4373" width="10" style="159" customWidth="1"/>
    <col min="4374" max="4608" width="9.140625" style="159"/>
    <col min="4609" max="4609" width="3.85546875" style="159" bestFit="1" customWidth="1"/>
    <col min="4610" max="4610" width="17.140625" style="159" customWidth="1"/>
    <col min="4611" max="4611" width="2.140625" style="159" customWidth="1"/>
    <col min="4612" max="4612" width="7.28515625" style="159" customWidth="1"/>
    <col min="4613" max="4613" width="7.85546875" style="159" customWidth="1"/>
    <col min="4614" max="4614" width="9.5703125" style="159" customWidth="1"/>
    <col min="4615" max="4615" width="17.140625" style="159" customWidth="1"/>
    <col min="4616" max="4616" width="6.85546875" style="159" customWidth="1"/>
    <col min="4617" max="4617" width="11.5703125" style="159" customWidth="1"/>
    <col min="4618" max="4618" width="6.85546875" style="159" customWidth="1"/>
    <col min="4619" max="4619" width="8" style="159" customWidth="1"/>
    <col min="4620" max="4620" width="9.7109375" style="159" customWidth="1"/>
    <col min="4621" max="4621" width="13.140625" style="159" customWidth="1"/>
    <col min="4622" max="4622" width="6.7109375" style="159" customWidth="1"/>
    <col min="4623" max="4623" width="6.28515625" style="159" customWidth="1"/>
    <col min="4624" max="4624" width="17.28515625" style="159" customWidth="1"/>
    <col min="4625" max="4625" width="11.85546875" style="159" customWidth="1"/>
    <col min="4626" max="4626" width="11.42578125" style="159" customWidth="1"/>
    <col min="4627" max="4627" width="9.140625" style="159"/>
    <col min="4628" max="4628" width="15" style="159" bestFit="1" customWidth="1"/>
    <col min="4629" max="4629" width="10" style="159" customWidth="1"/>
    <col min="4630" max="4864" width="9.140625" style="159"/>
    <col min="4865" max="4865" width="3.85546875" style="159" bestFit="1" customWidth="1"/>
    <col min="4866" max="4866" width="17.140625" style="159" customWidth="1"/>
    <col min="4867" max="4867" width="2.140625" style="159" customWidth="1"/>
    <col min="4868" max="4868" width="7.28515625" style="159" customWidth="1"/>
    <col min="4869" max="4869" width="7.85546875" style="159" customWidth="1"/>
    <col min="4870" max="4870" width="9.5703125" style="159" customWidth="1"/>
    <col min="4871" max="4871" width="17.140625" style="159" customWidth="1"/>
    <col min="4872" max="4872" width="6.85546875" style="159" customWidth="1"/>
    <col min="4873" max="4873" width="11.5703125" style="159" customWidth="1"/>
    <col min="4874" max="4874" width="6.85546875" style="159" customWidth="1"/>
    <col min="4875" max="4875" width="8" style="159" customWidth="1"/>
    <col min="4876" max="4876" width="9.7109375" style="159" customWidth="1"/>
    <col min="4877" max="4877" width="13.140625" style="159" customWidth="1"/>
    <col min="4878" max="4878" width="6.7109375" style="159" customWidth="1"/>
    <col min="4879" max="4879" width="6.28515625" style="159" customWidth="1"/>
    <col min="4880" max="4880" width="17.28515625" style="159" customWidth="1"/>
    <col min="4881" max="4881" width="11.85546875" style="159" customWidth="1"/>
    <col min="4882" max="4882" width="11.42578125" style="159" customWidth="1"/>
    <col min="4883" max="4883" width="9.140625" style="159"/>
    <col min="4884" max="4884" width="15" style="159" bestFit="1" customWidth="1"/>
    <col min="4885" max="4885" width="10" style="159" customWidth="1"/>
    <col min="4886" max="5120" width="9.140625" style="159"/>
    <col min="5121" max="5121" width="3.85546875" style="159" bestFit="1" customWidth="1"/>
    <col min="5122" max="5122" width="17.140625" style="159" customWidth="1"/>
    <col min="5123" max="5123" width="2.140625" style="159" customWidth="1"/>
    <col min="5124" max="5124" width="7.28515625" style="159" customWidth="1"/>
    <col min="5125" max="5125" width="7.85546875" style="159" customWidth="1"/>
    <col min="5126" max="5126" width="9.5703125" style="159" customWidth="1"/>
    <col min="5127" max="5127" width="17.140625" style="159" customWidth="1"/>
    <col min="5128" max="5128" width="6.85546875" style="159" customWidth="1"/>
    <col min="5129" max="5129" width="11.5703125" style="159" customWidth="1"/>
    <col min="5130" max="5130" width="6.85546875" style="159" customWidth="1"/>
    <col min="5131" max="5131" width="8" style="159" customWidth="1"/>
    <col min="5132" max="5132" width="9.7109375" style="159" customWidth="1"/>
    <col min="5133" max="5133" width="13.140625" style="159" customWidth="1"/>
    <col min="5134" max="5134" width="6.7109375" style="159" customWidth="1"/>
    <col min="5135" max="5135" width="6.28515625" style="159" customWidth="1"/>
    <col min="5136" max="5136" width="17.28515625" style="159" customWidth="1"/>
    <col min="5137" max="5137" width="11.85546875" style="159" customWidth="1"/>
    <col min="5138" max="5138" width="11.42578125" style="159" customWidth="1"/>
    <col min="5139" max="5139" width="9.140625" style="159"/>
    <col min="5140" max="5140" width="15" style="159" bestFit="1" customWidth="1"/>
    <col min="5141" max="5141" width="10" style="159" customWidth="1"/>
    <col min="5142" max="5376" width="9.140625" style="159"/>
    <col min="5377" max="5377" width="3.85546875" style="159" bestFit="1" customWidth="1"/>
    <col min="5378" max="5378" width="17.140625" style="159" customWidth="1"/>
    <col min="5379" max="5379" width="2.140625" style="159" customWidth="1"/>
    <col min="5380" max="5380" width="7.28515625" style="159" customWidth="1"/>
    <col min="5381" max="5381" width="7.85546875" style="159" customWidth="1"/>
    <col min="5382" max="5382" width="9.5703125" style="159" customWidth="1"/>
    <col min="5383" max="5383" width="17.140625" style="159" customWidth="1"/>
    <col min="5384" max="5384" width="6.85546875" style="159" customWidth="1"/>
    <col min="5385" max="5385" width="11.5703125" style="159" customWidth="1"/>
    <col min="5386" max="5386" width="6.85546875" style="159" customWidth="1"/>
    <col min="5387" max="5387" width="8" style="159" customWidth="1"/>
    <col min="5388" max="5388" width="9.7109375" style="159" customWidth="1"/>
    <col min="5389" max="5389" width="13.140625" style="159" customWidth="1"/>
    <col min="5390" max="5390" width="6.7109375" style="159" customWidth="1"/>
    <col min="5391" max="5391" width="6.28515625" style="159" customWidth="1"/>
    <col min="5392" max="5392" width="17.28515625" style="159" customWidth="1"/>
    <col min="5393" max="5393" width="11.85546875" style="159" customWidth="1"/>
    <col min="5394" max="5394" width="11.42578125" style="159" customWidth="1"/>
    <col min="5395" max="5395" width="9.140625" style="159"/>
    <col min="5396" max="5396" width="15" style="159" bestFit="1" customWidth="1"/>
    <col min="5397" max="5397" width="10" style="159" customWidth="1"/>
    <col min="5398" max="5632" width="9.140625" style="159"/>
    <col min="5633" max="5633" width="3.85546875" style="159" bestFit="1" customWidth="1"/>
    <col min="5634" max="5634" width="17.140625" style="159" customWidth="1"/>
    <col min="5635" max="5635" width="2.140625" style="159" customWidth="1"/>
    <col min="5636" max="5636" width="7.28515625" style="159" customWidth="1"/>
    <col min="5637" max="5637" width="7.85546875" style="159" customWidth="1"/>
    <col min="5638" max="5638" width="9.5703125" style="159" customWidth="1"/>
    <col min="5639" max="5639" width="17.140625" style="159" customWidth="1"/>
    <col min="5640" max="5640" width="6.85546875" style="159" customWidth="1"/>
    <col min="5641" max="5641" width="11.5703125" style="159" customWidth="1"/>
    <col min="5642" max="5642" width="6.85546875" style="159" customWidth="1"/>
    <col min="5643" max="5643" width="8" style="159" customWidth="1"/>
    <col min="5644" max="5644" width="9.7109375" style="159" customWidth="1"/>
    <col min="5645" max="5645" width="13.140625" style="159" customWidth="1"/>
    <col min="5646" max="5646" width="6.7109375" style="159" customWidth="1"/>
    <col min="5647" max="5647" width="6.28515625" style="159" customWidth="1"/>
    <col min="5648" max="5648" width="17.28515625" style="159" customWidth="1"/>
    <col min="5649" max="5649" width="11.85546875" style="159" customWidth="1"/>
    <col min="5650" max="5650" width="11.42578125" style="159" customWidth="1"/>
    <col min="5651" max="5651" width="9.140625" style="159"/>
    <col min="5652" max="5652" width="15" style="159" bestFit="1" customWidth="1"/>
    <col min="5653" max="5653" width="10" style="159" customWidth="1"/>
    <col min="5654" max="5888" width="9.140625" style="159"/>
    <col min="5889" max="5889" width="3.85546875" style="159" bestFit="1" customWidth="1"/>
    <col min="5890" max="5890" width="17.140625" style="159" customWidth="1"/>
    <col min="5891" max="5891" width="2.140625" style="159" customWidth="1"/>
    <col min="5892" max="5892" width="7.28515625" style="159" customWidth="1"/>
    <col min="5893" max="5893" width="7.85546875" style="159" customWidth="1"/>
    <col min="5894" max="5894" width="9.5703125" style="159" customWidth="1"/>
    <col min="5895" max="5895" width="17.140625" style="159" customWidth="1"/>
    <col min="5896" max="5896" width="6.85546875" style="159" customWidth="1"/>
    <col min="5897" max="5897" width="11.5703125" style="159" customWidth="1"/>
    <col min="5898" max="5898" width="6.85546875" style="159" customWidth="1"/>
    <col min="5899" max="5899" width="8" style="159" customWidth="1"/>
    <col min="5900" max="5900" width="9.7109375" style="159" customWidth="1"/>
    <col min="5901" max="5901" width="13.140625" style="159" customWidth="1"/>
    <col min="5902" max="5902" width="6.7109375" style="159" customWidth="1"/>
    <col min="5903" max="5903" width="6.28515625" style="159" customWidth="1"/>
    <col min="5904" max="5904" width="17.28515625" style="159" customWidth="1"/>
    <col min="5905" max="5905" width="11.85546875" style="159" customWidth="1"/>
    <col min="5906" max="5906" width="11.42578125" style="159" customWidth="1"/>
    <col min="5907" max="5907" width="9.140625" style="159"/>
    <col min="5908" max="5908" width="15" style="159" bestFit="1" customWidth="1"/>
    <col min="5909" max="5909" width="10" style="159" customWidth="1"/>
    <col min="5910" max="6144" width="9.140625" style="159"/>
    <col min="6145" max="6145" width="3.85546875" style="159" bestFit="1" customWidth="1"/>
    <col min="6146" max="6146" width="17.140625" style="159" customWidth="1"/>
    <col min="6147" max="6147" width="2.140625" style="159" customWidth="1"/>
    <col min="6148" max="6148" width="7.28515625" style="159" customWidth="1"/>
    <col min="6149" max="6149" width="7.85546875" style="159" customWidth="1"/>
    <col min="6150" max="6150" width="9.5703125" style="159" customWidth="1"/>
    <col min="6151" max="6151" width="17.140625" style="159" customWidth="1"/>
    <col min="6152" max="6152" width="6.85546875" style="159" customWidth="1"/>
    <col min="6153" max="6153" width="11.5703125" style="159" customWidth="1"/>
    <col min="6154" max="6154" width="6.85546875" style="159" customWidth="1"/>
    <col min="6155" max="6155" width="8" style="159" customWidth="1"/>
    <col min="6156" max="6156" width="9.7109375" style="159" customWidth="1"/>
    <col min="6157" max="6157" width="13.140625" style="159" customWidth="1"/>
    <col min="6158" max="6158" width="6.7109375" style="159" customWidth="1"/>
    <col min="6159" max="6159" width="6.28515625" style="159" customWidth="1"/>
    <col min="6160" max="6160" width="17.28515625" style="159" customWidth="1"/>
    <col min="6161" max="6161" width="11.85546875" style="159" customWidth="1"/>
    <col min="6162" max="6162" width="11.42578125" style="159" customWidth="1"/>
    <col min="6163" max="6163" width="9.140625" style="159"/>
    <col min="6164" max="6164" width="15" style="159" bestFit="1" customWidth="1"/>
    <col min="6165" max="6165" width="10" style="159" customWidth="1"/>
    <col min="6166" max="6400" width="9.140625" style="159"/>
    <col min="6401" max="6401" width="3.85546875" style="159" bestFit="1" customWidth="1"/>
    <col min="6402" max="6402" width="17.140625" style="159" customWidth="1"/>
    <col min="6403" max="6403" width="2.140625" style="159" customWidth="1"/>
    <col min="6404" max="6404" width="7.28515625" style="159" customWidth="1"/>
    <col min="6405" max="6405" width="7.85546875" style="159" customWidth="1"/>
    <col min="6406" max="6406" width="9.5703125" style="159" customWidth="1"/>
    <col min="6407" max="6407" width="17.140625" style="159" customWidth="1"/>
    <col min="6408" max="6408" width="6.85546875" style="159" customWidth="1"/>
    <col min="6409" max="6409" width="11.5703125" style="159" customWidth="1"/>
    <col min="6410" max="6410" width="6.85546875" style="159" customWidth="1"/>
    <col min="6411" max="6411" width="8" style="159" customWidth="1"/>
    <col min="6412" max="6412" width="9.7109375" style="159" customWidth="1"/>
    <col min="6413" max="6413" width="13.140625" style="159" customWidth="1"/>
    <col min="6414" max="6414" width="6.7109375" style="159" customWidth="1"/>
    <col min="6415" max="6415" width="6.28515625" style="159" customWidth="1"/>
    <col min="6416" max="6416" width="17.28515625" style="159" customWidth="1"/>
    <col min="6417" max="6417" width="11.85546875" style="159" customWidth="1"/>
    <col min="6418" max="6418" width="11.42578125" style="159" customWidth="1"/>
    <col min="6419" max="6419" width="9.140625" style="159"/>
    <col min="6420" max="6420" width="15" style="159" bestFit="1" customWidth="1"/>
    <col min="6421" max="6421" width="10" style="159" customWidth="1"/>
    <col min="6422" max="6656" width="9.140625" style="159"/>
    <col min="6657" max="6657" width="3.85546875" style="159" bestFit="1" customWidth="1"/>
    <col min="6658" max="6658" width="17.140625" style="159" customWidth="1"/>
    <col min="6659" max="6659" width="2.140625" style="159" customWidth="1"/>
    <col min="6660" max="6660" width="7.28515625" style="159" customWidth="1"/>
    <col min="6661" max="6661" width="7.85546875" style="159" customWidth="1"/>
    <col min="6662" max="6662" width="9.5703125" style="159" customWidth="1"/>
    <col min="6663" max="6663" width="17.140625" style="159" customWidth="1"/>
    <col min="6664" max="6664" width="6.85546875" style="159" customWidth="1"/>
    <col min="6665" max="6665" width="11.5703125" style="159" customWidth="1"/>
    <col min="6666" max="6666" width="6.85546875" style="159" customWidth="1"/>
    <col min="6667" max="6667" width="8" style="159" customWidth="1"/>
    <col min="6668" max="6668" width="9.7109375" style="159" customWidth="1"/>
    <col min="6669" max="6669" width="13.140625" style="159" customWidth="1"/>
    <col min="6670" max="6670" width="6.7109375" style="159" customWidth="1"/>
    <col min="6671" max="6671" width="6.28515625" style="159" customWidth="1"/>
    <col min="6672" max="6672" width="17.28515625" style="159" customWidth="1"/>
    <col min="6673" max="6673" width="11.85546875" style="159" customWidth="1"/>
    <col min="6674" max="6674" width="11.42578125" style="159" customWidth="1"/>
    <col min="6675" max="6675" width="9.140625" style="159"/>
    <col min="6676" max="6676" width="15" style="159" bestFit="1" customWidth="1"/>
    <col min="6677" max="6677" width="10" style="159" customWidth="1"/>
    <col min="6678" max="6912" width="9.140625" style="159"/>
    <col min="6913" max="6913" width="3.85546875" style="159" bestFit="1" customWidth="1"/>
    <col min="6914" max="6914" width="17.140625" style="159" customWidth="1"/>
    <col min="6915" max="6915" width="2.140625" style="159" customWidth="1"/>
    <col min="6916" max="6916" width="7.28515625" style="159" customWidth="1"/>
    <col min="6917" max="6917" width="7.85546875" style="159" customWidth="1"/>
    <col min="6918" max="6918" width="9.5703125" style="159" customWidth="1"/>
    <col min="6919" max="6919" width="17.140625" style="159" customWidth="1"/>
    <col min="6920" max="6920" width="6.85546875" style="159" customWidth="1"/>
    <col min="6921" max="6921" width="11.5703125" style="159" customWidth="1"/>
    <col min="6922" max="6922" width="6.85546875" style="159" customWidth="1"/>
    <col min="6923" max="6923" width="8" style="159" customWidth="1"/>
    <col min="6924" max="6924" width="9.7109375" style="159" customWidth="1"/>
    <col min="6925" max="6925" width="13.140625" style="159" customWidth="1"/>
    <col min="6926" max="6926" width="6.7109375" style="159" customWidth="1"/>
    <col min="6927" max="6927" width="6.28515625" style="159" customWidth="1"/>
    <col min="6928" max="6928" width="17.28515625" style="159" customWidth="1"/>
    <col min="6929" max="6929" width="11.85546875" style="159" customWidth="1"/>
    <col min="6930" max="6930" width="11.42578125" style="159" customWidth="1"/>
    <col min="6931" max="6931" width="9.140625" style="159"/>
    <col min="6932" max="6932" width="15" style="159" bestFit="1" customWidth="1"/>
    <col min="6933" max="6933" width="10" style="159" customWidth="1"/>
    <col min="6934" max="7168" width="9.140625" style="159"/>
    <col min="7169" max="7169" width="3.85546875" style="159" bestFit="1" customWidth="1"/>
    <col min="7170" max="7170" width="17.140625" style="159" customWidth="1"/>
    <col min="7171" max="7171" width="2.140625" style="159" customWidth="1"/>
    <col min="7172" max="7172" width="7.28515625" style="159" customWidth="1"/>
    <col min="7173" max="7173" width="7.85546875" style="159" customWidth="1"/>
    <col min="7174" max="7174" width="9.5703125" style="159" customWidth="1"/>
    <col min="7175" max="7175" width="17.140625" style="159" customWidth="1"/>
    <col min="7176" max="7176" width="6.85546875" style="159" customWidth="1"/>
    <col min="7177" max="7177" width="11.5703125" style="159" customWidth="1"/>
    <col min="7178" max="7178" width="6.85546875" style="159" customWidth="1"/>
    <col min="7179" max="7179" width="8" style="159" customWidth="1"/>
    <col min="7180" max="7180" width="9.7109375" style="159" customWidth="1"/>
    <col min="7181" max="7181" width="13.140625" style="159" customWidth="1"/>
    <col min="7182" max="7182" width="6.7109375" style="159" customWidth="1"/>
    <col min="7183" max="7183" width="6.28515625" style="159" customWidth="1"/>
    <col min="7184" max="7184" width="17.28515625" style="159" customWidth="1"/>
    <col min="7185" max="7185" width="11.85546875" style="159" customWidth="1"/>
    <col min="7186" max="7186" width="11.42578125" style="159" customWidth="1"/>
    <col min="7187" max="7187" width="9.140625" style="159"/>
    <col min="7188" max="7188" width="15" style="159" bestFit="1" customWidth="1"/>
    <col min="7189" max="7189" width="10" style="159" customWidth="1"/>
    <col min="7190" max="7424" width="9.140625" style="159"/>
    <col min="7425" max="7425" width="3.85546875" style="159" bestFit="1" customWidth="1"/>
    <col min="7426" max="7426" width="17.140625" style="159" customWidth="1"/>
    <col min="7427" max="7427" width="2.140625" style="159" customWidth="1"/>
    <col min="7428" max="7428" width="7.28515625" style="159" customWidth="1"/>
    <col min="7429" max="7429" width="7.85546875" style="159" customWidth="1"/>
    <col min="7430" max="7430" width="9.5703125" style="159" customWidth="1"/>
    <col min="7431" max="7431" width="17.140625" style="159" customWidth="1"/>
    <col min="7432" max="7432" width="6.85546875" style="159" customWidth="1"/>
    <col min="7433" max="7433" width="11.5703125" style="159" customWidth="1"/>
    <col min="7434" max="7434" width="6.85546875" style="159" customWidth="1"/>
    <col min="7435" max="7435" width="8" style="159" customWidth="1"/>
    <col min="7436" max="7436" width="9.7109375" style="159" customWidth="1"/>
    <col min="7437" max="7437" width="13.140625" style="159" customWidth="1"/>
    <col min="7438" max="7438" width="6.7109375" style="159" customWidth="1"/>
    <col min="7439" max="7439" width="6.28515625" style="159" customWidth="1"/>
    <col min="7440" max="7440" width="17.28515625" style="159" customWidth="1"/>
    <col min="7441" max="7441" width="11.85546875" style="159" customWidth="1"/>
    <col min="7442" max="7442" width="11.42578125" style="159" customWidth="1"/>
    <col min="7443" max="7443" width="9.140625" style="159"/>
    <col min="7444" max="7444" width="15" style="159" bestFit="1" customWidth="1"/>
    <col min="7445" max="7445" width="10" style="159" customWidth="1"/>
    <col min="7446" max="7680" width="9.140625" style="159"/>
    <col min="7681" max="7681" width="3.85546875" style="159" bestFit="1" customWidth="1"/>
    <col min="7682" max="7682" width="17.140625" style="159" customWidth="1"/>
    <col min="7683" max="7683" width="2.140625" style="159" customWidth="1"/>
    <col min="7684" max="7684" width="7.28515625" style="159" customWidth="1"/>
    <col min="7685" max="7685" width="7.85546875" style="159" customWidth="1"/>
    <col min="7686" max="7686" width="9.5703125" style="159" customWidth="1"/>
    <col min="7687" max="7687" width="17.140625" style="159" customWidth="1"/>
    <col min="7688" max="7688" width="6.85546875" style="159" customWidth="1"/>
    <col min="7689" max="7689" width="11.5703125" style="159" customWidth="1"/>
    <col min="7690" max="7690" width="6.85546875" style="159" customWidth="1"/>
    <col min="7691" max="7691" width="8" style="159" customWidth="1"/>
    <col min="7692" max="7692" width="9.7109375" style="159" customWidth="1"/>
    <col min="7693" max="7693" width="13.140625" style="159" customWidth="1"/>
    <col min="7694" max="7694" width="6.7109375" style="159" customWidth="1"/>
    <col min="7695" max="7695" width="6.28515625" style="159" customWidth="1"/>
    <col min="7696" max="7696" width="17.28515625" style="159" customWidth="1"/>
    <col min="7697" max="7697" width="11.85546875" style="159" customWidth="1"/>
    <col min="7698" max="7698" width="11.42578125" style="159" customWidth="1"/>
    <col min="7699" max="7699" width="9.140625" style="159"/>
    <col min="7700" max="7700" width="15" style="159" bestFit="1" customWidth="1"/>
    <col min="7701" max="7701" width="10" style="159" customWidth="1"/>
    <col min="7702" max="7936" width="9.140625" style="159"/>
    <col min="7937" max="7937" width="3.85546875" style="159" bestFit="1" customWidth="1"/>
    <col min="7938" max="7938" width="17.140625" style="159" customWidth="1"/>
    <col min="7939" max="7939" width="2.140625" style="159" customWidth="1"/>
    <col min="7940" max="7940" width="7.28515625" style="159" customWidth="1"/>
    <col min="7941" max="7941" width="7.85546875" style="159" customWidth="1"/>
    <col min="7942" max="7942" width="9.5703125" style="159" customWidth="1"/>
    <col min="7943" max="7943" width="17.140625" style="159" customWidth="1"/>
    <col min="7944" max="7944" width="6.85546875" style="159" customWidth="1"/>
    <col min="7945" max="7945" width="11.5703125" style="159" customWidth="1"/>
    <col min="7946" max="7946" width="6.85546875" style="159" customWidth="1"/>
    <col min="7947" max="7947" width="8" style="159" customWidth="1"/>
    <col min="7948" max="7948" width="9.7109375" style="159" customWidth="1"/>
    <col min="7949" max="7949" width="13.140625" style="159" customWidth="1"/>
    <col min="7950" max="7950" width="6.7109375" style="159" customWidth="1"/>
    <col min="7951" max="7951" width="6.28515625" style="159" customWidth="1"/>
    <col min="7952" max="7952" width="17.28515625" style="159" customWidth="1"/>
    <col min="7953" max="7953" width="11.85546875" style="159" customWidth="1"/>
    <col min="7954" max="7954" width="11.42578125" style="159" customWidth="1"/>
    <col min="7955" max="7955" width="9.140625" style="159"/>
    <col min="7956" max="7956" width="15" style="159" bestFit="1" customWidth="1"/>
    <col min="7957" max="7957" width="10" style="159" customWidth="1"/>
    <col min="7958" max="8192" width="9.140625" style="159"/>
    <col min="8193" max="8193" width="3.85546875" style="159" bestFit="1" customWidth="1"/>
    <col min="8194" max="8194" width="17.140625" style="159" customWidth="1"/>
    <col min="8195" max="8195" width="2.140625" style="159" customWidth="1"/>
    <col min="8196" max="8196" width="7.28515625" style="159" customWidth="1"/>
    <col min="8197" max="8197" width="7.85546875" style="159" customWidth="1"/>
    <col min="8198" max="8198" width="9.5703125" style="159" customWidth="1"/>
    <col min="8199" max="8199" width="17.140625" style="159" customWidth="1"/>
    <col min="8200" max="8200" width="6.85546875" style="159" customWidth="1"/>
    <col min="8201" max="8201" width="11.5703125" style="159" customWidth="1"/>
    <col min="8202" max="8202" width="6.85546875" style="159" customWidth="1"/>
    <col min="8203" max="8203" width="8" style="159" customWidth="1"/>
    <col min="8204" max="8204" width="9.7109375" style="159" customWidth="1"/>
    <col min="8205" max="8205" width="13.140625" style="159" customWidth="1"/>
    <col min="8206" max="8206" width="6.7109375" style="159" customWidth="1"/>
    <col min="8207" max="8207" width="6.28515625" style="159" customWidth="1"/>
    <col min="8208" max="8208" width="17.28515625" style="159" customWidth="1"/>
    <col min="8209" max="8209" width="11.85546875" style="159" customWidth="1"/>
    <col min="8210" max="8210" width="11.42578125" style="159" customWidth="1"/>
    <col min="8211" max="8211" width="9.140625" style="159"/>
    <col min="8212" max="8212" width="15" style="159" bestFit="1" customWidth="1"/>
    <col min="8213" max="8213" width="10" style="159" customWidth="1"/>
    <col min="8214" max="8448" width="9.140625" style="159"/>
    <col min="8449" max="8449" width="3.85546875" style="159" bestFit="1" customWidth="1"/>
    <col min="8450" max="8450" width="17.140625" style="159" customWidth="1"/>
    <col min="8451" max="8451" width="2.140625" style="159" customWidth="1"/>
    <col min="8452" max="8452" width="7.28515625" style="159" customWidth="1"/>
    <col min="8453" max="8453" width="7.85546875" style="159" customWidth="1"/>
    <col min="8454" max="8454" width="9.5703125" style="159" customWidth="1"/>
    <col min="8455" max="8455" width="17.140625" style="159" customWidth="1"/>
    <col min="8456" max="8456" width="6.85546875" style="159" customWidth="1"/>
    <col min="8457" max="8457" width="11.5703125" style="159" customWidth="1"/>
    <col min="8458" max="8458" width="6.85546875" style="159" customWidth="1"/>
    <col min="8459" max="8459" width="8" style="159" customWidth="1"/>
    <col min="8460" max="8460" width="9.7109375" style="159" customWidth="1"/>
    <col min="8461" max="8461" width="13.140625" style="159" customWidth="1"/>
    <col min="8462" max="8462" width="6.7109375" style="159" customWidth="1"/>
    <col min="8463" max="8463" width="6.28515625" style="159" customWidth="1"/>
    <col min="8464" max="8464" width="17.28515625" style="159" customWidth="1"/>
    <col min="8465" max="8465" width="11.85546875" style="159" customWidth="1"/>
    <col min="8466" max="8466" width="11.42578125" style="159" customWidth="1"/>
    <col min="8467" max="8467" width="9.140625" style="159"/>
    <col min="8468" max="8468" width="15" style="159" bestFit="1" customWidth="1"/>
    <col min="8469" max="8469" width="10" style="159" customWidth="1"/>
    <col min="8470" max="8704" width="9.140625" style="159"/>
    <col min="8705" max="8705" width="3.85546875" style="159" bestFit="1" customWidth="1"/>
    <col min="8706" max="8706" width="17.140625" style="159" customWidth="1"/>
    <col min="8707" max="8707" width="2.140625" style="159" customWidth="1"/>
    <col min="8708" max="8708" width="7.28515625" style="159" customWidth="1"/>
    <col min="8709" max="8709" width="7.85546875" style="159" customWidth="1"/>
    <col min="8710" max="8710" width="9.5703125" style="159" customWidth="1"/>
    <col min="8711" max="8711" width="17.140625" style="159" customWidth="1"/>
    <col min="8712" max="8712" width="6.85546875" style="159" customWidth="1"/>
    <col min="8713" max="8713" width="11.5703125" style="159" customWidth="1"/>
    <col min="8714" max="8714" width="6.85546875" style="159" customWidth="1"/>
    <col min="8715" max="8715" width="8" style="159" customWidth="1"/>
    <col min="8716" max="8716" width="9.7109375" style="159" customWidth="1"/>
    <col min="8717" max="8717" width="13.140625" style="159" customWidth="1"/>
    <col min="8718" max="8718" width="6.7109375" style="159" customWidth="1"/>
    <col min="8719" max="8719" width="6.28515625" style="159" customWidth="1"/>
    <col min="8720" max="8720" width="17.28515625" style="159" customWidth="1"/>
    <col min="8721" max="8721" width="11.85546875" style="159" customWidth="1"/>
    <col min="8722" max="8722" width="11.42578125" style="159" customWidth="1"/>
    <col min="8723" max="8723" width="9.140625" style="159"/>
    <col min="8724" max="8724" width="15" style="159" bestFit="1" customWidth="1"/>
    <col min="8725" max="8725" width="10" style="159" customWidth="1"/>
    <col min="8726" max="8960" width="9.140625" style="159"/>
    <col min="8961" max="8961" width="3.85546875" style="159" bestFit="1" customWidth="1"/>
    <col min="8962" max="8962" width="17.140625" style="159" customWidth="1"/>
    <col min="8963" max="8963" width="2.140625" style="159" customWidth="1"/>
    <col min="8964" max="8964" width="7.28515625" style="159" customWidth="1"/>
    <col min="8965" max="8965" width="7.85546875" style="159" customWidth="1"/>
    <col min="8966" max="8966" width="9.5703125" style="159" customWidth="1"/>
    <col min="8967" max="8967" width="17.140625" style="159" customWidth="1"/>
    <col min="8968" max="8968" width="6.85546875" style="159" customWidth="1"/>
    <col min="8969" max="8969" width="11.5703125" style="159" customWidth="1"/>
    <col min="8970" max="8970" width="6.85546875" style="159" customWidth="1"/>
    <col min="8971" max="8971" width="8" style="159" customWidth="1"/>
    <col min="8972" max="8972" width="9.7109375" style="159" customWidth="1"/>
    <col min="8973" max="8973" width="13.140625" style="159" customWidth="1"/>
    <col min="8974" max="8974" width="6.7109375" style="159" customWidth="1"/>
    <col min="8975" max="8975" width="6.28515625" style="159" customWidth="1"/>
    <col min="8976" max="8976" width="17.28515625" style="159" customWidth="1"/>
    <col min="8977" max="8977" width="11.85546875" style="159" customWidth="1"/>
    <col min="8978" max="8978" width="11.42578125" style="159" customWidth="1"/>
    <col min="8979" max="8979" width="9.140625" style="159"/>
    <col min="8980" max="8980" width="15" style="159" bestFit="1" customWidth="1"/>
    <col min="8981" max="8981" width="10" style="159" customWidth="1"/>
    <col min="8982" max="9216" width="9.140625" style="159"/>
    <col min="9217" max="9217" width="3.85546875" style="159" bestFit="1" customWidth="1"/>
    <col min="9218" max="9218" width="17.140625" style="159" customWidth="1"/>
    <col min="9219" max="9219" width="2.140625" style="159" customWidth="1"/>
    <col min="9220" max="9220" width="7.28515625" style="159" customWidth="1"/>
    <col min="9221" max="9221" width="7.85546875" style="159" customWidth="1"/>
    <col min="9222" max="9222" width="9.5703125" style="159" customWidth="1"/>
    <col min="9223" max="9223" width="17.140625" style="159" customWidth="1"/>
    <col min="9224" max="9224" width="6.85546875" style="159" customWidth="1"/>
    <col min="9225" max="9225" width="11.5703125" style="159" customWidth="1"/>
    <col min="9226" max="9226" width="6.85546875" style="159" customWidth="1"/>
    <col min="9227" max="9227" width="8" style="159" customWidth="1"/>
    <col min="9228" max="9228" width="9.7109375" style="159" customWidth="1"/>
    <col min="9229" max="9229" width="13.140625" style="159" customWidth="1"/>
    <col min="9230" max="9230" width="6.7109375" style="159" customWidth="1"/>
    <col min="9231" max="9231" width="6.28515625" style="159" customWidth="1"/>
    <col min="9232" max="9232" width="17.28515625" style="159" customWidth="1"/>
    <col min="9233" max="9233" width="11.85546875" style="159" customWidth="1"/>
    <col min="9234" max="9234" width="11.42578125" style="159" customWidth="1"/>
    <col min="9235" max="9235" width="9.140625" style="159"/>
    <col min="9236" max="9236" width="15" style="159" bestFit="1" customWidth="1"/>
    <col min="9237" max="9237" width="10" style="159" customWidth="1"/>
    <col min="9238" max="9472" width="9.140625" style="159"/>
    <col min="9473" max="9473" width="3.85546875" style="159" bestFit="1" customWidth="1"/>
    <col min="9474" max="9474" width="17.140625" style="159" customWidth="1"/>
    <col min="9475" max="9475" width="2.140625" style="159" customWidth="1"/>
    <col min="9476" max="9476" width="7.28515625" style="159" customWidth="1"/>
    <col min="9477" max="9477" width="7.85546875" style="159" customWidth="1"/>
    <col min="9478" max="9478" width="9.5703125" style="159" customWidth="1"/>
    <col min="9479" max="9479" width="17.140625" style="159" customWidth="1"/>
    <col min="9480" max="9480" width="6.85546875" style="159" customWidth="1"/>
    <col min="9481" max="9481" width="11.5703125" style="159" customWidth="1"/>
    <col min="9482" max="9482" width="6.85546875" style="159" customWidth="1"/>
    <col min="9483" max="9483" width="8" style="159" customWidth="1"/>
    <col min="9484" max="9484" width="9.7109375" style="159" customWidth="1"/>
    <col min="9485" max="9485" width="13.140625" style="159" customWidth="1"/>
    <col min="9486" max="9486" width="6.7109375" style="159" customWidth="1"/>
    <col min="9487" max="9487" width="6.28515625" style="159" customWidth="1"/>
    <col min="9488" max="9488" width="17.28515625" style="159" customWidth="1"/>
    <col min="9489" max="9489" width="11.85546875" style="159" customWidth="1"/>
    <col min="9490" max="9490" width="11.42578125" style="159" customWidth="1"/>
    <col min="9491" max="9491" width="9.140625" style="159"/>
    <col min="9492" max="9492" width="15" style="159" bestFit="1" customWidth="1"/>
    <col min="9493" max="9493" width="10" style="159" customWidth="1"/>
    <col min="9494" max="9728" width="9.140625" style="159"/>
    <col min="9729" max="9729" width="3.85546875" style="159" bestFit="1" customWidth="1"/>
    <col min="9730" max="9730" width="17.140625" style="159" customWidth="1"/>
    <col min="9731" max="9731" width="2.140625" style="159" customWidth="1"/>
    <col min="9732" max="9732" width="7.28515625" style="159" customWidth="1"/>
    <col min="9733" max="9733" width="7.85546875" style="159" customWidth="1"/>
    <col min="9734" max="9734" width="9.5703125" style="159" customWidth="1"/>
    <col min="9735" max="9735" width="17.140625" style="159" customWidth="1"/>
    <col min="9736" max="9736" width="6.85546875" style="159" customWidth="1"/>
    <col min="9737" max="9737" width="11.5703125" style="159" customWidth="1"/>
    <col min="9738" max="9738" width="6.85546875" style="159" customWidth="1"/>
    <col min="9739" max="9739" width="8" style="159" customWidth="1"/>
    <col min="9740" max="9740" width="9.7109375" style="159" customWidth="1"/>
    <col min="9741" max="9741" width="13.140625" style="159" customWidth="1"/>
    <col min="9742" max="9742" width="6.7109375" style="159" customWidth="1"/>
    <col min="9743" max="9743" width="6.28515625" style="159" customWidth="1"/>
    <col min="9744" max="9744" width="17.28515625" style="159" customWidth="1"/>
    <col min="9745" max="9745" width="11.85546875" style="159" customWidth="1"/>
    <col min="9746" max="9746" width="11.42578125" style="159" customWidth="1"/>
    <col min="9747" max="9747" width="9.140625" style="159"/>
    <col min="9748" max="9748" width="15" style="159" bestFit="1" customWidth="1"/>
    <col min="9749" max="9749" width="10" style="159" customWidth="1"/>
    <col min="9750" max="9984" width="9.140625" style="159"/>
    <col min="9985" max="9985" width="3.85546875" style="159" bestFit="1" customWidth="1"/>
    <col min="9986" max="9986" width="17.140625" style="159" customWidth="1"/>
    <col min="9987" max="9987" width="2.140625" style="159" customWidth="1"/>
    <col min="9988" max="9988" width="7.28515625" style="159" customWidth="1"/>
    <col min="9989" max="9989" width="7.85546875" style="159" customWidth="1"/>
    <col min="9990" max="9990" width="9.5703125" style="159" customWidth="1"/>
    <col min="9991" max="9991" width="17.140625" style="159" customWidth="1"/>
    <col min="9992" max="9992" width="6.85546875" style="159" customWidth="1"/>
    <col min="9993" max="9993" width="11.5703125" style="159" customWidth="1"/>
    <col min="9994" max="9994" width="6.85546875" style="159" customWidth="1"/>
    <col min="9995" max="9995" width="8" style="159" customWidth="1"/>
    <col min="9996" max="9996" width="9.7109375" style="159" customWidth="1"/>
    <col min="9997" max="9997" width="13.140625" style="159" customWidth="1"/>
    <col min="9998" max="9998" width="6.7109375" style="159" customWidth="1"/>
    <col min="9999" max="9999" width="6.28515625" style="159" customWidth="1"/>
    <col min="10000" max="10000" width="17.28515625" style="159" customWidth="1"/>
    <col min="10001" max="10001" width="11.85546875" style="159" customWidth="1"/>
    <col min="10002" max="10002" width="11.42578125" style="159" customWidth="1"/>
    <col min="10003" max="10003" width="9.140625" style="159"/>
    <col min="10004" max="10004" width="15" style="159" bestFit="1" customWidth="1"/>
    <col min="10005" max="10005" width="10" style="159" customWidth="1"/>
    <col min="10006" max="10240" width="9.140625" style="159"/>
    <col min="10241" max="10241" width="3.85546875" style="159" bestFit="1" customWidth="1"/>
    <col min="10242" max="10242" width="17.140625" style="159" customWidth="1"/>
    <col min="10243" max="10243" width="2.140625" style="159" customWidth="1"/>
    <col min="10244" max="10244" width="7.28515625" style="159" customWidth="1"/>
    <col min="10245" max="10245" width="7.85546875" style="159" customWidth="1"/>
    <col min="10246" max="10246" width="9.5703125" style="159" customWidth="1"/>
    <col min="10247" max="10247" width="17.140625" style="159" customWidth="1"/>
    <col min="10248" max="10248" width="6.85546875" style="159" customWidth="1"/>
    <col min="10249" max="10249" width="11.5703125" style="159" customWidth="1"/>
    <col min="10250" max="10250" width="6.85546875" style="159" customWidth="1"/>
    <col min="10251" max="10251" width="8" style="159" customWidth="1"/>
    <col min="10252" max="10252" width="9.7109375" style="159" customWidth="1"/>
    <col min="10253" max="10253" width="13.140625" style="159" customWidth="1"/>
    <col min="10254" max="10254" width="6.7109375" style="159" customWidth="1"/>
    <col min="10255" max="10255" width="6.28515625" style="159" customWidth="1"/>
    <col min="10256" max="10256" width="17.28515625" style="159" customWidth="1"/>
    <col min="10257" max="10257" width="11.85546875" style="159" customWidth="1"/>
    <col min="10258" max="10258" width="11.42578125" style="159" customWidth="1"/>
    <col min="10259" max="10259" width="9.140625" style="159"/>
    <col min="10260" max="10260" width="15" style="159" bestFit="1" customWidth="1"/>
    <col min="10261" max="10261" width="10" style="159" customWidth="1"/>
    <col min="10262" max="10496" width="9.140625" style="159"/>
    <col min="10497" max="10497" width="3.85546875" style="159" bestFit="1" customWidth="1"/>
    <col min="10498" max="10498" width="17.140625" style="159" customWidth="1"/>
    <col min="10499" max="10499" width="2.140625" style="159" customWidth="1"/>
    <col min="10500" max="10500" width="7.28515625" style="159" customWidth="1"/>
    <col min="10501" max="10501" width="7.85546875" style="159" customWidth="1"/>
    <col min="10502" max="10502" width="9.5703125" style="159" customWidth="1"/>
    <col min="10503" max="10503" width="17.140625" style="159" customWidth="1"/>
    <col min="10504" max="10504" width="6.85546875" style="159" customWidth="1"/>
    <col min="10505" max="10505" width="11.5703125" style="159" customWidth="1"/>
    <col min="10506" max="10506" width="6.85546875" style="159" customWidth="1"/>
    <col min="10507" max="10507" width="8" style="159" customWidth="1"/>
    <col min="10508" max="10508" width="9.7109375" style="159" customWidth="1"/>
    <col min="10509" max="10509" width="13.140625" style="159" customWidth="1"/>
    <col min="10510" max="10510" width="6.7109375" style="159" customWidth="1"/>
    <col min="10511" max="10511" width="6.28515625" style="159" customWidth="1"/>
    <col min="10512" max="10512" width="17.28515625" style="159" customWidth="1"/>
    <col min="10513" max="10513" width="11.85546875" style="159" customWidth="1"/>
    <col min="10514" max="10514" width="11.42578125" style="159" customWidth="1"/>
    <col min="10515" max="10515" width="9.140625" style="159"/>
    <col min="10516" max="10516" width="15" style="159" bestFit="1" customWidth="1"/>
    <col min="10517" max="10517" width="10" style="159" customWidth="1"/>
    <col min="10518" max="10752" width="9.140625" style="159"/>
    <col min="10753" max="10753" width="3.85546875" style="159" bestFit="1" customWidth="1"/>
    <col min="10754" max="10754" width="17.140625" style="159" customWidth="1"/>
    <col min="10755" max="10755" width="2.140625" style="159" customWidth="1"/>
    <col min="10756" max="10756" width="7.28515625" style="159" customWidth="1"/>
    <col min="10757" max="10757" width="7.85546875" style="159" customWidth="1"/>
    <col min="10758" max="10758" width="9.5703125" style="159" customWidth="1"/>
    <col min="10759" max="10759" width="17.140625" style="159" customWidth="1"/>
    <col min="10760" max="10760" width="6.85546875" style="159" customWidth="1"/>
    <col min="10761" max="10761" width="11.5703125" style="159" customWidth="1"/>
    <col min="10762" max="10762" width="6.85546875" style="159" customWidth="1"/>
    <col min="10763" max="10763" width="8" style="159" customWidth="1"/>
    <col min="10764" max="10764" width="9.7109375" style="159" customWidth="1"/>
    <col min="10765" max="10765" width="13.140625" style="159" customWidth="1"/>
    <col min="10766" max="10766" width="6.7109375" style="159" customWidth="1"/>
    <col min="10767" max="10767" width="6.28515625" style="159" customWidth="1"/>
    <col min="10768" max="10768" width="17.28515625" style="159" customWidth="1"/>
    <col min="10769" max="10769" width="11.85546875" style="159" customWidth="1"/>
    <col min="10770" max="10770" width="11.42578125" style="159" customWidth="1"/>
    <col min="10771" max="10771" width="9.140625" style="159"/>
    <col min="10772" max="10772" width="15" style="159" bestFit="1" customWidth="1"/>
    <col min="10773" max="10773" width="10" style="159" customWidth="1"/>
    <col min="10774" max="11008" width="9.140625" style="159"/>
    <col min="11009" max="11009" width="3.85546875" style="159" bestFit="1" customWidth="1"/>
    <col min="11010" max="11010" width="17.140625" style="159" customWidth="1"/>
    <col min="11011" max="11011" width="2.140625" style="159" customWidth="1"/>
    <col min="11012" max="11012" width="7.28515625" style="159" customWidth="1"/>
    <col min="11013" max="11013" width="7.85546875" style="159" customWidth="1"/>
    <col min="11014" max="11014" width="9.5703125" style="159" customWidth="1"/>
    <col min="11015" max="11015" width="17.140625" style="159" customWidth="1"/>
    <col min="11016" max="11016" width="6.85546875" style="159" customWidth="1"/>
    <col min="11017" max="11017" width="11.5703125" style="159" customWidth="1"/>
    <col min="11018" max="11018" width="6.85546875" style="159" customWidth="1"/>
    <col min="11019" max="11019" width="8" style="159" customWidth="1"/>
    <col min="11020" max="11020" width="9.7109375" style="159" customWidth="1"/>
    <col min="11021" max="11021" width="13.140625" style="159" customWidth="1"/>
    <col min="11022" max="11022" width="6.7109375" style="159" customWidth="1"/>
    <col min="11023" max="11023" width="6.28515625" style="159" customWidth="1"/>
    <col min="11024" max="11024" width="17.28515625" style="159" customWidth="1"/>
    <col min="11025" max="11025" width="11.85546875" style="159" customWidth="1"/>
    <col min="11026" max="11026" width="11.42578125" style="159" customWidth="1"/>
    <col min="11027" max="11027" width="9.140625" style="159"/>
    <col min="11028" max="11028" width="15" style="159" bestFit="1" customWidth="1"/>
    <col min="11029" max="11029" width="10" style="159" customWidth="1"/>
    <col min="11030" max="11264" width="9.140625" style="159"/>
    <col min="11265" max="11265" width="3.85546875" style="159" bestFit="1" customWidth="1"/>
    <col min="11266" max="11266" width="17.140625" style="159" customWidth="1"/>
    <col min="11267" max="11267" width="2.140625" style="159" customWidth="1"/>
    <col min="11268" max="11268" width="7.28515625" style="159" customWidth="1"/>
    <col min="11269" max="11269" width="7.85546875" style="159" customWidth="1"/>
    <col min="11270" max="11270" width="9.5703125" style="159" customWidth="1"/>
    <col min="11271" max="11271" width="17.140625" style="159" customWidth="1"/>
    <col min="11272" max="11272" width="6.85546875" style="159" customWidth="1"/>
    <col min="11273" max="11273" width="11.5703125" style="159" customWidth="1"/>
    <col min="11274" max="11274" width="6.85546875" style="159" customWidth="1"/>
    <col min="11275" max="11275" width="8" style="159" customWidth="1"/>
    <col min="11276" max="11276" width="9.7109375" style="159" customWidth="1"/>
    <col min="11277" max="11277" width="13.140625" style="159" customWidth="1"/>
    <col min="11278" max="11278" width="6.7109375" style="159" customWidth="1"/>
    <col min="11279" max="11279" width="6.28515625" style="159" customWidth="1"/>
    <col min="11280" max="11280" width="17.28515625" style="159" customWidth="1"/>
    <col min="11281" max="11281" width="11.85546875" style="159" customWidth="1"/>
    <col min="11282" max="11282" width="11.42578125" style="159" customWidth="1"/>
    <col min="11283" max="11283" width="9.140625" style="159"/>
    <col min="11284" max="11284" width="15" style="159" bestFit="1" customWidth="1"/>
    <col min="11285" max="11285" width="10" style="159" customWidth="1"/>
    <col min="11286" max="11520" width="9.140625" style="159"/>
    <col min="11521" max="11521" width="3.85546875" style="159" bestFit="1" customWidth="1"/>
    <col min="11522" max="11522" width="17.140625" style="159" customWidth="1"/>
    <col min="11523" max="11523" width="2.140625" style="159" customWidth="1"/>
    <col min="11524" max="11524" width="7.28515625" style="159" customWidth="1"/>
    <col min="11525" max="11525" width="7.85546875" style="159" customWidth="1"/>
    <col min="11526" max="11526" width="9.5703125" style="159" customWidth="1"/>
    <col min="11527" max="11527" width="17.140625" style="159" customWidth="1"/>
    <col min="11528" max="11528" width="6.85546875" style="159" customWidth="1"/>
    <col min="11529" max="11529" width="11.5703125" style="159" customWidth="1"/>
    <col min="11530" max="11530" width="6.85546875" style="159" customWidth="1"/>
    <col min="11531" max="11531" width="8" style="159" customWidth="1"/>
    <col min="11532" max="11532" width="9.7109375" style="159" customWidth="1"/>
    <col min="11533" max="11533" width="13.140625" style="159" customWidth="1"/>
    <col min="11534" max="11534" width="6.7109375" style="159" customWidth="1"/>
    <col min="11535" max="11535" width="6.28515625" style="159" customWidth="1"/>
    <col min="11536" max="11536" width="17.28515625" style="159" customWidth="1"/>
    <col min="11537" max="11537" width="11.85546875" style="159" customWidth="1"/>
    <col min="11538" max="11538" width="11.42578125" style="159" customWidth="1"/>
    <col min="11539" max="11539" width="9.140625" style="159"/>
    <col min="11540" max="11540" width="15" style="159" bestFit="1" customWidth="1"/>
    <col min="11541" max="11541" width="10" style="159" customWidth="1"/>
    <col min="11542" max="11776" width="9.140625" style="159"/>
    <col min="11777" max="11777" width="3.85546875" style="159" bestFit="1" customWidth="1"/>
    <col min="11778" max="11778" width="17.140625" style="159" customWidth="1"/>
    <col min="11779" max="11779" width="2.140625" style="159" customWidth="1"/>
    <col min="11780" max="11780" width="7.28515625" style="159" customWidth="1"/>
    <col min="11781" max="11781" width="7.85546875" style="159" customWidth="1"/>
    <col min="11782" max="11782" width="9.5703125" style="159" customWidth="1"/>
    <col min="11783" max="11783" width="17.140625" style="159" customWidth="1"/>
    <col min="11784" max="11784" width="6.85546875" style="159" customWidth="1"/>
    <col min="11785" max="11785" width="11.5703125" style="159" customWidth="1"/>
    <col min="11786" max="11786" width="6.85546875" style="159" customWidth="1"/>
    <col min="11787" max="11787" width="8" style="159" customWidth="1"/>
    <col min="11788" max="11788" width="9.7109375" style="159" customWidth="1"/>
    <col min="11789" max="11789" width="13.140625" style="159" customWidth="1"/>
    <col min="11790" max="11790" width="6.7109375" style="159" customWidth="1"/>
    <col min="11791" max="11791" width="6.28515625" style="159" customWidth="1"/>
    <col min="11792" max="11792" width="17.28515625" style="159" customWidth="1"/>
    <col min="11793" max="11793" width="11.85546875" style="159" customWidth="1"/>
    <col min="11794" max="11794" width="11.42578125" style="159" customWidth="1"/>
    <col min="11795" max="11795" width="9.140625" style="159"/>
    <col min="11796" max="11796" width="15" style="159" bestFit="1" customWidth="1"/>
    <col min="11797" max="11797" width="10" style="159" customWidth="1"/>
    <col min="11798" max="12032" width="9.140625" style="159"/>
    <col min="12033" max="12033" width="3.85546875" style="159" bestFit="1" customWidth="1"/>
    <col min="12034" max="12034" width="17.140625" style="159" customWidth="1"/>
    <col min="12035" max="12035" width="2.140625" style="159" customWidth="1"/>
    <col min="12036" max="12036" width="7.28515625" style="159" customWidth="1"/>
    <col min="12037" max="12037" width="7.85546875" style="159" customWidth="1"/>
    <col min="12038" max="12038" width="9.5703125" style="159" customWidth="1"/>
    <col min="12039" max="12039" width="17.140625" style="159" customWidth="1"/>
    <col min="12040" max="12040" width="6.85546875" style="159" customWidth="1"/>
    <col min="12041" max="12041" width="11.5703125" style="159" customWidth="1"/>
    <col min="12042" max="12042" width="6.85546875" style="159" customWidth="1"/>
    <col min="12043" max="12043" width="8" style="159" customWidth="1"/>
    <col min="12044" max="12044" width="9.7109375" style="159" customWidth="1"/>
    <col min="12045" max="12045" width="13.140625" style="159" customWidth="1"/>
    <col min="12046" max="12046" width="6.7109375" style="159" customWidth="1"/>
    <col min="12047" max="12047" width="6.28515625" style="159" customWidth="1"/>
    <col min="12048" max="12048" width="17.28515625" style="159" customWidth="1"/>
    <col min="12049" max="12049" width="11.85546875" style="159" customWidth="1"/>
    <col min="12050" max="12050" width="11.42578125" style="159" customWidth="1"/>
    <col min="12051" max="12051" width="9.140625" style="159"/>
    <col min="12052" max="12052" width="15" style="159" bestFit="1" customWidth="1"/>
    <col min="12053" max="12053" width="10" style="159" customWidth="1"/>
    <col min="12054" max="12288" width="9.140625" style="159"/>
    <col min="12289" max="12289" width="3.85546875" style="159" bestFit="1" customWidth="1"/>
    <col min="12290" max="12290" width="17.140625" style="159" customWidth="1"/>
    <col min="12291" max="12291" width="2.140625" style="159" customWidth="1"/>
    <col min="12292" max="12292" width="7.28515625" style="159" customWidth="1"/>
    <col min="12293" max="12293" width="7.85546875" style="159" customWidth="1"/>
    <col min="12294" max="12294" width="9.5703125" style="159" customWidth="1"/>
    <col min="12295" max="12295" width="17.140625" style="159" customWidth="1"/>
    <col min="12296" max="12296" width="6.85546875" style="159" customWidth="1"/>
    <col min="12297" max="12297" width="11.5703125" style="159" customWidth="1"/>
    <col min="12298" max="12298" width="6.85546875" style="159" customWidth="1"/>
    <col min="12299" max="12299" width="8" style="159" customWidth="1"/>
    <col min="12300" max="12300" width="9.7109375" style="159" customWidth="1"/>
    <col min="12301" max="12301" width="13.140625" style="159" customWidth="1"/>
    <col min="12302" max="12302" width="6.7109375" style="159" customWidth="1"/>
    <col min="12303" max="12303" width="6.28515625" style="159" customWidth="1"/>
    <col min="12304" max="12304" width="17.28515625" style="159" customWidth="1"/>
    <col min="12305" max="12305" width="11.85546875" style="159" customWidth="1"/>
    <col min="12306" max="12306" width="11.42578125" style="159" customWidth="1"/>
    <col min="12307" max="12307" width="9.140625" style="159"/>
    <col min="12308" max="12308" width="15" style="159" bestFit="1" customWidth="1"/>
    <col min="12309" max="12309" width="10" style="159" customWidth="1"/>
    <col min="12310" max="12544" width="9.140625" style="159"/>
    <col min="12545" max="12545" width="3.85546875" style="159" bestFit="1" customWidth="1"/>
    <col min="12546" max="12546" width="17.140625" style="159" customWidth="1"/>
    <col min="12547" max="12547" width="2.140625" style="159" customWidth="1"/>
    <col min="12548" max="12548" width="7.28515625" style="159" customWidth="1"/>
    <col min="12549" max="12549" width="7.85546875" style="159" customWidth="1"/>
    <col min="12550" max="12550" width="9.5703125" style="159" customWidth="1"/>
    <col min="12551" max="12551" width="17.140625" style="159" customWidth="1"/>
    <col min="12552" max="12552" width="6.85546875" style="159" customWidth="1"/>
    <col min="12553" max="12553" width="11.5703125" style="159" customWidth="1"/>
    <col min="12554" max="12554" width="6.85546875" style="159" customWidth="1"/>
    <col min="12555" max="12555" width="8" style="159" customWidth="1"/>
    <col min="12556" max="12556" width="9.7109375" style="159" customWidth="1"/>
    <col min="12557" max="12557" width="13.140625" style="159" customWidth="1"/>
    <col min="12558" max="12558" width="6.7109375" style="159" customWidth="1"/>
    <col min="12559" max="12559" width="6.28515625" style="159" customWidth="1"/>
    <col min="12560" max="12560" width="17.28515625" style="159" customWidth="1"/>
    <col min="12561" max="12561" width="11.85546875" style="159" customWidth="1"/>
    <col min="12562" max="12562" width="11.42578125" style="159" customWidth="1"/>
    <col min="12563" max="12563" width="9.140625" style="159"/>
    <col min="12564" max="12564" width="15" style="159" bestFit="1" customWidth="1"/>
    <col min="12565" max="12565" width="10" style="159" customWidth="1"/>
    <col min="12566" max="12800" width="9.140625" style="159"/>
    <col min="12801" max="12801" width="3.85546875" style="159" bestFit="1" customWidth="1"/>
    <col min="12802" max="12802" width="17.140625" style="159" customWidth="1"/>
    <col min="12803" max="12803" width="2.140625" style="159" customWidth="1"/>
    <col min="12804" max="12804" width="7.28515625" style="159" customWidth="1"/>
    <col min="12805" max="12805" width="7.85546875" style="159" customWidth="1"/>
    <col min="12806" max="12806" width="9.5703125" style="159" customWidth="1"/>
    <col min="12807" max="12807" width="17.140625" style="159" customWidth="1"/>
    <col min="12808" max="12808" width="6.85546875" style="159" customWidth="1"/>
    <col min="12809" max="12809" width="11.5703125" style="159" customWidth="1"/>
    <col min="12810" max="12810" width="6.85546875" style="159" customWidth="1"/>
    <col min="12811" max="12811" width="8" style="159" customWidth="1"/>
    <col min="12812" max="12812" width="9.7109375" style="159" customWidth="1"/>
    <col min="12813" max="12813" width="13.140625" style="159" customWidth="1"/>
    <col min="12814" max="12814" width="6.7109375" style="159" customWidth="1"/>
    <col min="12815" max="12815" width="6.28515625" style="159" customWidth="1"/>
    <col min="12816" max="12816" width="17.28515625" style="159" customWidth="1"/>
    <col min="12817" max="12817" width="11.85546875" style="159" customWidth="1"/>
    <col min="12818" max="12818" width="11.42578125" style="159" customWidth="1"/>
    <col min="12819" max="12819" width="9.140625" style="159"/>
    <col min="12820" max="12820" width="15" style="159" bestFit="1" customWidth="1"/>
    <col min="12821" max="12821" width="10" style="159" customWidth="1"/>
    <col min="12822" max="13056" width="9.140625" style="159"/>
    <col min="13057" max="13057" width="3.85546875" style="159" bestFit="1" customWidth="1"/>
    <col min="13058" max="13058" width="17.140625" style="159" customWidth="1"/>
    <col min="13059" max="13059" width="2.140625" style="159" customWidth="1"/>
    <col min="13060" max="13060" width="7.28515625" style="159" customWidth="1"/>
    <col min="13061" max="13061" width="7.85546875" style="159" customWidth="1"/>
    <col min="13062" max="13062" width="9.5703125" style="159" customWidth="1"/>
    <col min="13063" max="13063" width="17.140625" style="159" customWidth="1"/>
    <col min="13064" max="13064" width="6.85546875" style="159" customWidth="1"/>
    <col min="13065" max="13065" width="11.5703125" style="159" customWidth="1"/>
    <col min="13066" max="13066" width="6.85546875" style="159" customWidth="1"/>
    <col min="13067" max="13067" width="8" style="159" customWidth="1"/>
    <col min="13068" max="13068" width="9.7109375" style="159" customWidth="1"/>
    <col min="13069" max="13069" width="13.140625" style="159" customWidth="1"/>
    <col min="13070" max="13070" width="6.7109375" style="159" customWidth="1"/>
    <col min="13071" max="13071" width="6.28515625" style="159" customWidth="1"/>
    <col min="13072" max="13072" width="17.28515625" style="159" customWidth="1"/>
    <col min="13073" max="13073" width="11.85546875" style="159" customWidth="1"/>
    <col min="13074" max="13074" width="11.42578125" style="159" customWidth="1"/>
    <col min="13075" max="13075" width="9.140625" style="159"/>
    <col min="13076" max="13076" width="15" style="159" bestFit="1" customWidth="1"/>
    <col min="13077" max="13077" width="10" style="159" customWidth="1"/>
    <col min="13078" max="13312" width="9.140625" style="159"/>
    <col min="13313" max="13313" width="3.85546875" style="159" bestFit="1" customWidth="1"/>
    <col min="13314" max="13314" width="17.140625" style="159" customWidth="1"/>
    <col min="13315" max="13315" width="2.140625" style="159" customWidth="1"/>
    <col min="13316" max="13316" width="7.28515625" style="159" customWidth="1"/>
    <col min="13317" max="13317" width="7.85546875" style="159" customWidth="1"/>
    <col min="13318" max="13318" width="9.5703125" style="159" customWidth="1"/>
    <col min="13319" max="13319" width="17.140625" style="159" customWidth="1"/>
    <col min="13320" max="13320" width="6.85546875" style="159" customWidth="1"/>
    <col min="13321" max="13321" width="11.5703125" style="159" customWidth="1"/>
    <col min="13322" max="13322" width="6.85546875" style="159" customWidth="1"/>
    <col min="13323" max="13323" width="8" style="159" customWidth="1"/>
    <col min="13324" max="13324" width="9.7109375" style="159" customWidth="1"/>
    <col min="13325" max="13325" width="13.140625" style="159" customWidth="1"/>
    <col min="13326" max="13326" width="6.7109375" style="159" customWidth="1"/>
    <col min="13327" max="13327" width="6.28515625" style="159" customWidth="1"/>
    <col min="13328" max="13328" width="17.28515625" style="159" customWidth="1"/>
    <col min="13329" max="13329" width="11.85546875" style="159" customWidth="1"/>
    <col min="13330" max="13330" width="11.42578125" style="159" customWidth="1"/>
    <col min="13331" max="13331" width="9.140625" style="159"/>
    <col min="13332" max="13332" width="15" style="159" bestFit="1" customWidth="1"/>
    <col min="13333" max="13333" width="10" style="159" customWidth="1"/>
    <col min="13334" max="13568" width="9.140625" style="159"/>
    <col min="13569" max="13569" width="3.85546875" style="159" bestFit="1" customWidth="1"/>
    <col min="13570" max="13570" width="17.140625" style="159" customWidth="1"/>
    <col min="13571" max="13571" width="2.140625" style="159" customWidth="1"/>
    <col min="13572" max="13572" width="7.28515625" style="159" customWidth="1"/>
    <col min="13573" max="13573" width="7.85546875" style="159" customWidth="1"/>
    <col min="13574" max="13574" width="9.5703125" style="159" customWidth="1"/>
    <col min="13575" max="13575" width="17.140625" style="159" customWidth="1"/>
    <col min="13576" max="13576" width="6.85546875" style="159" customWidth="1"/>
    <col min="13577" max="13577" width="11.5703125" style="159" customWidth="1"/>
    <col min="13578" max="13578" width="6.85546875" style="159" customWidth="1"/>
    <col min="13579" max="13579" width="8" style="159" customWidth="1"/>
    <col min="13580" max="13580" width="9.7109375" style="159" customWidth="1"/>
    <col min="13581" max="13581" width="13.140625" style="159" customWidth="1"/>
    <col min="13582" max="13582" width="6.7109375" style="159" customWidth="1"/>
    <col min="13583" max="13583" width="6.28515625" style="159" customWidth="1"/>
    <col min="13584" max="13584" width="17.28515625" style="159" customWidth="1"/>
    <col min="13585" max="13585" width="11.85546875" style="159" customWidth="1"/>
    <col min="13586" max="13586" width="11.42578125" style="159" customWidth="1"/>
    <col min="13587" max="13587" width="9.140625" style="159"/>
    <col min="13588" max="13588" width="15" style="159" bestFit="1" customWidth="1"/>
    <col min="13589" max="13589" width="10" style="159" customWidth="1"/>
    <col min="13590" max="13824" width="9.140625" style="159"/>
    <col min="13825" max="13825" width="3.85546875" style="159" bestFit="1" customWidth="1"/>
    <col min="13826" max="13826" width="17.140625" style="159" customWidth="1"/>
    <col min="13827" max="13827" width="2.140625" style="159" customWidth="1"/>
    <col min="13828" max="13828" width="7.28515625" style="159" customWidth="1"/>
    <col min="13829" max="13829" width="7.85546875" style="159" customWidth="1"/>
    <col min="13830" max="13830" width="9.5703125" style="159" customWidth="1"/>
    <col min="13831" max="13831" width="17.140625" style="159" customWidth="1"/>
    <col min="13832" max="13832" width="6.85546875" style="159" customWidth="1"/>
    <col min="13833" max="13833" width="11.5703125" style="159" customWidth="1"/>
    <col min="13834" max="13834" width="6.85546875" style="159" customWidth="1"/>
    <col min="13835" max="13835" width="8" style="159" customWidth="1"/>
    <col min="13836" max="13836" width="9.7109375" style="159" customWidth="1"/>
    <col min="13837" max="13837" width="13.140625" style="159" customWidth="1"/>
    <col min="13838" max="13838" width="6.7109375" style="159" customWidth="1"/>
    <col min="13839" max="13839" width="6.28515625" style="159" customWidth="1"/>
    <col min="13840" max="13840" width="17.28515625" style="159" customWidth="1"/>
    <col min="13841" max="13841" width="11.85546875" style="159" customWidth="1"/>
    <col min="13842" max="13842" width="11.42578125" style="159" customWidth="1"/>
    <col min="13843" max="13843" width="9.140625" style="159"/>
    <col min="13844" max="13844" width="15" style="159" bestFit="1" customWidth="1"/>
    <col min="13845" max="13845" width="10" style="159" customWidth="1"/>
    <col min="13846" max="14080" width="9.140625" style="159"/>
    <col min="14081" max="14081" width="3.85546875" style="159" bestFit="1" customWidth="1"/>
    <col min="14082" max="14082" width="17.140625" style="159" customWidth="1"/>
    <col min="14083" max="14083" width="2.140625" style="159" customWidth="1"/>
    <col min="14084" max="14084" width="7.28515625" style="159" customWidth="1"/>
    <col min="14085" max="14085" width="7.85546875" style="159" customWidth="1"/>
    <col min="14086" max="14086" width="9.5703125" style="159" customWidth="1"/>
    <col min="14087" max="14087" width="17.140625" style="159" customWidth="1"/>
    <col min="14088" max="14088" width="6.85546875" style="159" customWidth="1"/>
    <col min="14089" max="14089" width="11.5703125" style="159" customWidth="1"/>
    <col min="14090" max="14090" width="6.85546875" style="159" customWidth="1"/>
    <col min="14091" max="14091" width="8" style="159" customWidth="1"/>
    <col min="14092" max="14092" width="9.7109375" style="159" customWidth="1"/>
    <col min="14093" max="14093" width="13.140625" style="159" customWidth="1"/>
    <col min="14094" max="14094" width="6.7109375" style="159" customWidth="1"/>
    <col min="14095" max="14095" width="6.28515625" style="159" customWidth="1"/>
    <col min="14096" max="14096" width="17.28515625" style="159" customWidth="1"/>
    <col min="14097" max="14097" width="11.85546875" style="159" customWidth="1"/>
    <col min="14098" max="14098" width="11.42578125" style="159" customWidth="1"/>
    <col min="14099" max="14099" width="9.140625" style="159"/>
    <col min="14100" max="14100" width="15" style="159" bestFit="1" customWidth="1"/>
    <col min="14101" max="14101" width="10" style="159" customWidth="1"/>
    <col min="14102" max="14336" width="9.140625" style="159"/>
    <col min="14337" max="14337" width="3.85546875" style="159" bestFit="1" customWidth="1"/>
    <col min="14338" max="14338" width="17.140625" style="159" customWidth="1"/>
    <col min="14339" max="14339" width="2.140625" style="159" customWidth="1"/>
    <col min="14340" max="14340" width="7.28515625" style="159" customWidth="1"/>
    <col min="14341" max="14341" width="7.85546875" style="159" customWidth="1"/>
    <col min="14342" max="14342" width="9.5703125" style="159" customWidth="1"/>
    <col min="14343" max="14343" width="17.140625" style="159" customWidth="1"/>
    <col min="14344" max="14344" width="6.85546875" style="159" customWidth="1"/>
    <col min="14345" max="14345" width="11.5703125" style="159" customWidth="1"/>
    <col min="14346" max="14346" width="6.85546875" style="159" customWidth="1"/>
    <col min="14347" max="14347" width="8" style="159" customWidth="1"/>
    <col min="14348" max="14348" width="9.7109375" style="159" customWidth="1"/>
    <col min="14349" max="14349" width="13.140625" style="159" customWidth="1"/>
    <col min="14350" max="14350" width="6.7109375" style="159" customWidth="1"/>
    <col min="14351" max="14351" width="6.28515625" style="159" customWidth="1"/>
    <col min="14352" max="14352" width="17.28515625" style="159" customWidth="1"/>
    <col min="14353" max="14353" width="11.85546875" style="159" customWidth="1"/>
    <col min="14354" max="14354" width="11.42578125" style="159" customWidth="1"/>
    <col min="14355" max="14355" width="9.140625" style="159"/>
    <col min="14356" max="14356" width="15" style="159" bestFit="1" customWidth="1"/>
    <col min="14357" max="14357" width="10" style="159" customWidth="1"/>
    <col min="14358" max="14592" width="9.140625" style="159"/>
    <col min="14593" max="14593" width="3.85546875" style="159" bestFit="1" customWidth="1"/>
    <col min="14594" max="14594" width="17.140625" style="159" customWidth="1"/>
    <col min="14595" max="14595" width="2.140625" style="159" customWidth="1"/>
    <col min="14596" max="14596" width="7.28515625" style="159" customWidth="1"/>
    <col min="14597" max="14597" width="7.85546875" style="159" customWidth="1"/>
    <col min="14598" max="14598" width="9.5703125" style="159" customWidth="1"/>
    <col min="14599" max="14599" width="17.140625" style="159" customWidth="1"/>
    <col min="14600" max="14600" width="6.85546875" style="159" customWidth="1"/>
    <col min="14601" max="14601" width="11.5703125" style="159" customWidth="1"/>
    <col min="14602" max="14602" width="6.85546875" style="159" customWidth="1"/>
    <col min="14603" max="14603" width="8" style="159" customWidth="1"/>
    <col min="14604" max="14604" width="9.7109375" style="159" customWidth="1"/>
    <col min="14605" max="14605" width="13.140625" style="159" customWidth="1"/>
    <col min="14606" max="14606" width="6.7109375" style="159" customWidth="1"/>
    <col min="14607" max="14607" width="6.28515625" style="159" customWidth="1"/>
    <col min="14608" max="14608" width="17.28515625" style="159" customWidth="1"/>
    <col min="14609" max="14609" width="11.85546875" style="159" customWidth="1"/>
    <col min="14610" max="14610" width="11.42578125" style="159" customWidth="1"/>
    <col min="14611" max="14611" width="9.140625" style="159"/>
    <col min="14612" max="14612" width="15" style="159" bestFit="1" customWidth="1"/>
    <col min="14613" max="14613" width="10" style="159" customWidth="1"/>
    <col min="14614" max="14848" width="9.140625" style="159"/>
    <col min="14849" max="14849" width="3.85546875" style="159" bestFit="1" customWidth="1"/>
    <col min="14850" max="14850" width="17.140625" style="159" customWidth="1"/>
    <col min="14851" max="14851" width="2.140625" style="159" customWidth="1"/>
    <col min="14852" max="14852" width="7.28515625" style="159" customWidth="1"/>
    <col min="14853" max="14853" width="7.85546875" style="159" customWidth="1"/>
    <col min="14854" max="14854" width="9.5703125" style="159" customWidth="1"/>
    <col min="14855" max="14855" width="17.140625" style="159" customWidth="1"/>
    <col min="14856" max="14856" width="6.85546875" style="159" customWidth="1"/>
    <col min="14857" max="14857" width="11.5703125" style="159" customWidth="1"/>
    <col min="14858" max="14858" width="6.85546875" style="159" customWidth="1"/>
    <col min="14859" max="14859" width="8" style="159" customWidth="1"/>
    <col min="14860" max="14860" width="9.7109375" style="159" customWidth="1"/>
    <col min="14861" max="14861" width="13.140625" style="159" customWidth="1"/>
    <col min="14862" max="14862" width="6.7109375" style="159" customWidth="1"/>
    <col min="14863" max="14863" width="6.28515625" style="159" customWidth="1"/>
    <col min="14864" max="14864" width="17.28515625" style="159" customWidth="1"/>
    <col min="14865" max="14865" width="11.85546875" style="159" customWidth="1"/>
    <col min="14866" max="14866" width="11.42578125" style="159" customWidth="1"/>
    <col min="14867" max="14867" width="9.140625" style="159"/>
    <col min="14868" max="14868" width="15" style="159" bestFit="1" customWidth="1"/>
    <col min="14869" max="14869" width="10" style="159" customWidth="1"/>
    <col min="14870" max="15104" width="9.140625" style="159"/>
    <col min="15105" max="15105" width="3.85546875" style="159" bestFit="1" customWidth="1"/>
    <col min="15106" max="15106" width="17.140625" style="159" customWidth="1"/>
    <col min="15107" max="15107" width="2.140625" style="159" customWidth="1"/>
    <col min="15108" max="15108" width="7.28515625" style="159" customWidth="1"/>
    <col min="15109" max="15109" width="7.85546875" style="159" customWidth="1"/>
    <col min="15110" max="15110" width="9.5703125" style="159" customWidth="1"/>
    <col min="15111" max="15111" width="17.140625" style="159" customWidth="1"/>
    <col min="15112" max="15112" width="6.85546875" style="159" customWidth="1"/>
    <col min="15113" max="15113" width="11.5703125" style="159" customWidth="1"/>
    <col min="15114" max="15114" width="6.85546875" style="159" customWidth="1"/>
    <col min="15115" max="15115" width="8" style="159" customWidth="1"/>
    <col min="15116" max="15116" width="9.7109375" style="159" customWidth="1"/>
    <col min="15117" max="15117" width="13.140625" style="159" customWidth="1"/>
    <col min="15118" max="15118" width="6.7109375" style="159" customWidth="1"/>
    <col min="15119" max="15119" width="6.28515625" style="159" customWidth="1"/>
    <col min="15120" max="15120" width="17.28515625" style="159" customWidth="1"/>
    <col min="15121" max="15121" width="11.85546875" style="159" customWidth="1"/>
    <col min="15122" max="15122" width="11.42578125" style="159" customWidth="1"/>
    <col min="15123" max="15123" width="9.140625" style="159"/>
    <col min="15124" max="15124" width="15" style="159" bestFit="1" customWidth="1"/>
    <col min="15125" max="15125" width="10" style="159" customWidth="1"/>
    <col min="15126" max="15360" width="9.140625" style="159"/>
    <col min="15361" max="15361" width="3.85546875" style="159" bestFit="1" customWidth="1"/>
    <col min="15362" max="15362" width="17.140625" style="159" customWidth="1"/>
    <col min="15363" max="15363" width="2.140625" style="159" customWidth="1"/>
    <col min="15364" max="15364" width="7.28515625" style="159" customWidth="1"/>
    <col min="15365" max="15365" width="7.85546875" style="159" customWidth="1"/>
    <col min="15366" max="15366" width="9.5703125" style="159" customWidth="1"/>
    <col min="15367" max="15367" width="17.140625" style="159" customWidth="1"/>
    <col min="15368" max="15368" width="6.85546875" style="159" customWidth="1"/>
    <col min="15369" max="15369" width="11.5703125" style="159" customWidth="1"/>
    <col min="15370" max="15370" width="6.85546875" style="159" customWidth="1"/>
    <col min="15371" max="15371" width="8" style="159" customWidth="1"/>
    <col min="15372" max="15372" width="9.7109375" style="159" customWidth="1"/>
    <col min="15373" max="15373" width="13.140625" style="159" customWidth="1"/>
    <col min="15374" max="15374" width="6.7109375" style="159" customWidth="1"/>
    <col min="15375" max="15375" width="6.28515625" style="159" customWidth="1"/>
    <col min="15376" max="15376" width="17.28515625" style="159" customWidth="1"/>
    <col min="15377" max="15377" width="11.85546875" style="159" customWidth="1"/>
    <col min="15378" max="15378" width="11.42578125" style="159" customWidth="1"/>
    <col min="15379" max="15379" width="9.140625" style="159"/>
    <col min="15380" max="15380" width="15" style="159" bestFit="1" customWidth="1"/>
    <col min="15381" max="15381" width="10" style="159" customWidth="1"/>
    <col min="15382" max="15616" width="9.140625" style="159"/>
    <col min="15617" max="15617" width="3.85546875" style="159" bestFit="1" customWidth="1"/>
    <col min="15618" max="15618" width="17.140625" style="159" customWidth="1"/>
    <col min="15619" max="15619" width="2.140625" style="159" customWidth="1"/>
    <col min="15620" max="15620" width="7.28515625" style="159" customWidth="1"/>
    <col min="15621" max="15621" width="7.85546875" style="159" customWidth="1"/>
    <col min="15622" max="15622" width="9.5703125" style="159" customWidth="1"/>
    <col min="15623" max="15623" width="17.140625" style="159" customWidth="1"/>
    <col min="15624" max="15624" width="6.85546875" style="159" customWidth="1"/>
    <col min="15625" max="15625" width="11.5703125" style="159" customWidth="1"/>
    <col min="15626" max="15626" width="6.85546875" style="159" customWidth="1"/>
    <col min="15627" max="15627" width="8" style="159" customWidth="1"/>
    <col min="15628" max="15628" width="9.7109375" style="159" customWidth="1"/>
    <col min="15629" max="15629" width="13.140625" style="159" customWidth="1"/>
    <col min="15630" max="15630" width="6.7109375" style="159" customWidth="1"/>
    <col min="15631" max="15631" width="6.28515625" style="159" customWidth="1"/>
    <col min="15632" max="15632" width="17.28515625" style="159" customWidth="1"/>
    <col min="15633" max="15633" width="11.85546875" style="159" customWidth="1"/>
    <col min="15634" max="15634" width="11.42578125" style="159" customWidth="1"/>
    <col min="15635" max="15635" width="9.140625" style="159"/>
    <col min="15636" max="15636" width="15" style="159" bestFit="1" customWidth="1"/>
    <col min="15637" max="15637" width="10" style="159" customWidth="1"/>
    <col min="15638" max="15872" width="9.140625" style="159"/>
    <col min="15873" max="15873" width="3.85546875" style="159" bestFit="1" customWidth="1"/>
    <col min="15874" max="15874" width="17.140625" style="159" customWidth="1"/>
    <col min="15875" max="15875" width="2.140625" style="159" customWidth="1"/>
    <col min="15876" max="15876" width="7.28515625" style="159" customWidth="1"/>
    <col min="15877" max="15877" width="7.85546875" style="159" customWidth="1"/>
    <col min="15878" max="15878" width="9.5703125" style="159" customWidth="1"/>
    <col min="15879" max="15879" width="17.140625" style="159" customWidth="1"/>
    <col min="15880" max="15880" width="6.85546875" style="159" customWidth="1"/>
    <col min="15881" max="15881" width="11.5703125" style="159" customWidth="1"/>
    <col min="15882" max="15882" width="6.85546875" style="159" customWidth="1"/>
    <col min="15883" max="15883" width="8" style="159" customWidth="1"/>
    <col min="15884" max="15884" width="9.7109375" style="159" customWidth="1"/>
    <col min="15885" max="15885" width="13.140625" style="159" customWidth="1"/>
    <col min="15886" max="15886" width="6.7109375" style="159" customWidth="1"/>
    <col min="15887" max="15887" width="6.28515625" style="159" customWidth="1"/>
    <col min="15888" max="15888" width="17.28515625" style="159" customWidth="1"/>
    <col min="15889" max="15889" width="11.85546875" style="159" customWidth="1"/>
    <col min="15890" max="15890" width="11.42578125" style="159" customWidth="1"/>
    <col min="15891" max="15891" width="9.140625" style="159"/>
    <col min="15892" max="15892" width="15" style="159" bestFit="1" customWidth="1"/>
    <col min="15893" max="15893" width="10" style="159" customWidth="1"/>
    <col min="15894" max="16128" width="9.140625" style="159"/>
    <col min="16129" max="16129" width="3.85546875" style="159" bestFit="1" customWidth="1"/>
    <col min="16130" max="16130" width="17.140625" style="159" customWidth="1"/>
    <col min="16131" max="16131" width="2.140625" style="159" customWidth="1"/>
    <col min="16132" max="16132" width="7.28515625" style="159" customWidth="1"/>
    <col min="16133" max="16133" width="7.85546875" style="159" customWidth="1"/>
    <col min="16134" max="16134" width="9.5703125" style="159" customWidth="1"/>
    <col min="16135" max="16135" width="17.140625" style="159" customWidth="1"/>
    <col min="16136" max="16136" width="6.85546875" style="159" customWidth="1"/>
    <col min="16137" max="16137" width="11.5703125" style="159" customWidth="1"/>
    <col min="16138" max="16138" width="6.85546875" style="159" customWidth="1"/>
    <col min="16139" max="16139" width="8" style="159" customWidth="1"/>
    <col min="16140" max="16140" width="9.7109375" style="159" customWidth="1"/>
    <col min="16141" max="16141" width="13.140625" style="159" customWidth="1"/>
    <col min="16142" max="16142" width="6.7109375" style="159" customWidth="1"/>
    <col min="16143" max="16143" width="6.28515625" style="159" customWidth="1"/>
    <col min="16144" max="16144" width="17.28515625" style="159" customWidth="1"/>
    <col min="16145" max="16145" width="11.85546875" style="159" customWidth="1"/>
    <col min="16146" max="16146" width="11.42578125" style="159" customWidth="1"/>
    <col min="16147" max="16147" width="9.140625" style="159"/>
    <col min="16148" max="16148" width="15" style="159" bestFit="1" customWidth="1"/>
    <col min="16149" max="16149" width="10" style="159" customWidth="1"/>
    <col min="16150" max="16384" width="9.140625" style="159"/>
  </cols>
  <sheetData>
    <row r="1" spans="1:24" x14ac:dyDescent="0.25">
      <c r="A1" s="158"/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</row>
    <row r="2" spans="1:24" ht="15" customHeight="1" x14ac:dyDescent="0.25">
      <c r="A2" s="614" t="s">
        <v>671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614"/>
      <c r="S2" s="614"/>
    </row>
    <row r="3" spans="1:24" ht="15.75" x14ac:dyDescent="0.25">
      <c r="A3" s="579" t="s">
        <v>198</v>
      </c>
      <c r="B3" s="579"/>
      <c r="C3" s="579"/>
      <c r="D3" s="579"/>
      <c r="E3" s="579"/>
      <c r="F3" s="579"/>
      <c r="G3" s="579"/>
      <c r="H3" s="579"/>
      <c r="I3" s="579"/>
      <c r="J3" s="579"/>
      <c r="K3" s="579"/>
      <c r="L3" s="579"/>
      <c r="M3" s="579"/>
      <c r="N3" s="579"/>
      <c r="O3" s="579"/>
      <c r="P3" s="579"/>
      <c r="Q3" s="579"/>
      <c r="R3" s="579"/>
      <c r="S3" s="579"/>
    </row>
    <row r="4" spans="1:24" x14ac:dyDescent="0.25">
      <c r="A4" s="160"/>
      <c r="B4" s="458" t="s">
        <v>105</v>
      </c>
      <c r="C4" s="459" t="s">
        <v>106</v>
      </c>
      <c r="D4" s="458" t="s">
        <v>396</v>
      </c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</row>
    <row r="5" spans="1:24" x14ac:dyDescent="0.25">
      <c r="A5" s="160"/>
      <c r="B5" s="458" t="s">
        <v>107</v>
      </c>
      <c r="C5" s="459" t="s">
        <v>106</v>
      </c>
      <c r="D5" s="458" t="s">
        <v>397</v>
      </c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</row>
    <row r="6" spans="1:24" x14ac:dyDescent="0.25">
      <c r="A6" s="160"/>
      <c r="B6" s="458" t="s">
        <v>108</v>
      </c>
      <c r="C6" s="459" t="s">
        <v>106</v>
      </c>
      <c r="D6" s="458" t="s">
        <v>398</v>
      </c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</row>
    <row r="7" spans="1:24" x14ac:dyDescent="0.25">
      <c r="A7" s="160"/>
      <c r="B7" s="458" t="s">
        <v>109</v>
      </c>
      <c r="C7" s="459" t="s">
        <v>106</v>
      </c>
      <c r="D7" s="458" t="s">
        <v>398</v>
      </c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</row>
    <row r="8" spans="1:24" x14ac:dyDescent="0.25">
      <c r="A8" s="160"/>
      <c r="B8" s="160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</row>
    <row r="9" spans="1:24" x14ac:dyDescent="0.25">
      <c r="A9" s="601" t="s">
        <v>110</v>
      </c>
      <c r="B9" s="615" t="s">
        <v>201</v>
      </c>
      <c r="C9" s="616"/>
      <c r="D9" s="601" t="s">
        <v>112</v>
      </c>
      <c r="E9" s="601"/>
      <c r="F9" s="601" t="s">
        <v>338</v>
      </c>
      <c r="G9" s="601"/>
      <c r="H9" s="609" t="s">
        <v>339</v>
      </c>
      <c r="I9" s="609" t="s">
        <v>340</v>
      </c>
      <c r="J9" s="601" t="s">
        <v>341</v>
      </c>
      <c r="K9" s="601"/>
      <c r="L9" s="609" t="s">
        <v>113</v>
      </c>
      <c r="M9" s="609" t="s">
        <v>276</v>
      </c>
      <c r="N9" s="609" t="s">
        <v>342</v>
      </c>
      <c r="O9" s="600" t="s">
        <v>307</v>
      </c>
      <c r="P9" s="609" t="s">
        <v>119</v>
      </c>
      <c r="Q9" s="600" t="s">
        <v>343</v>
      </c>
      <c r="R9" s="601" t="s">
        <v>120</v>
      </c>
      <c r="S9" s="567" t="s">
        <v>269</v>
      </c>
    </row>
    <row r="10" spans="1:24" ht="36" customHeight="1" x14ac:dyDescent="0.25">
      <c r="A10" s="601"/>
      <c r="B10" s="617"/>
      <c r="C10" s="618"/>
      <c r="D10" s="161" t="s">
        <v>121</v>
      </c>
      <c r="E10" s="161" t="s">
        <v>122</v>
      </c>
      <c r="F10" s="161" t="s">
        <v>344</v>
      </c>
      <c r="G10" s="161" t="s">
        <v>345</v>
      </c>
      <c r="H10" s="610"/>
      <c r="I10" s="610"/>
      <c r="J10" s="162" t="s">
        <v>125</v>
      </c>
      <c r="K10" s="162" t="s">
        <v>126</v>
      </c>
      <c r="L10" s="619"/>
      <c r="M10" s="610"/>
      <c r="N10" s="610"/>
      <c r="O10" s="601"/>
      <c r="P10" s="610"/>
      <c r="Q10" s="600"/>
      <c r="R10" s="601"/>
      <c r="S10" s="568"/>
    </row>
    <row r="11" spans="1:24" x14ac:dyDescent="0.25">
      <c r="A11" s="163" t="s">
        <v>213</v>
      </c>
      <c r="B11" s="622" t="s">
        <v>214</v>
      </c>
      <c r="C11" s="622"/>
      <c r="D11" s="163" t="s">
        <v>279</v>
      </c>
      <c r="E11" s="163">
        <v>4</v>
      </c>
      <c r="F11" s="163">
        <v>5</v>
      </c>
      <c r="G11" s="163">
        <v>6</v>
      </c>
      <c r="H11" s="163">
        <v>7</v>
      </c>
      <c r="I11" s="163">
        <v>8</v>
      </c>
      <c r="J11" s="163">
        <v>9</v>
      </c>
      <c r="K11" s="163">
        <v>10</v>
      </c>
      <c r="L11" s="163">
        <v>11</v>
      </c>
      <c r="M11" s="163">
        <v>12</v>
      </c>
      <c r="N11" s="163">
        <v>13</v>
      </c>
      <c r="O11" s="163">
        <v>14</v>
      </c>
      <c r="P11" s="163">
        <v>15</v>
      </c>
      <c r="Q11" s="163">
        <v>16</v>
      </c>
      <c r="R11" s="163" t="s">
        <v>283</v>
      </c>
      <c r="S11" s="569"/>
    </row>
    <row r="12" spans="1:24" ht="30" x14ac:dyDescent="0.25">
      <c r="A12" s="445">
        <v>1</v>
      </c>
      <c r="B12" s="534" t="s">
        <v>166</v>
      </c>
      <c r="C12" s="310"/>
      <c r="D12" s="311"/>
      <c r="E12" s="311"/>
      <c r="F12" s="311" t="s">
        <v>346</v>
      </c>
      <c r="G12" s="311" t="s">
        <v>284</v>
      </c>
      <c r="H12" s="446">
        <v>174</v>
      </c>
      <c r="I12" s="311" t="s">
        <v>509</v>
      </c>
      <c r="J12" s="311">
        <v>2013</v>
      </c>
      <c r="K12" s="311"/>
      <c r="L12" s="446">
        <v>5515</v>
      </c>
      <c r="M12" s="311" t="s">
        <v>348</v>
      </c>
      <c r="N12" s="311"/>
      <c r="O12" s="311"/>
      <c r="P12" s="447">
        <v>400000000</v>
      </c>
      <c r="Q12" s="445" t="s">
        <v>353</v>
      </c>
      <c r="R12" s="311"/>
      <c r="S12" s="448" t="s">
        <v>64</v>
      </c>
      <c r="T12" s="165"/>
    </row>
    <row r="13" spans="1:24" ht="45" x14ac:dyDescent="0.25">
      <c r="A13" s="445">
        <f>A12+1</f>
        <v>2</v>
      </c>
      <c r="B13" s="534" t="s">
        <v>350</v>
      </c>
      <c r="C13" s="310"/>
      <c r="D13" s="311"/>
      <c r="E13" s="311"/>
      <c r="F13" s="311" t="s">
        <v>346</v>
      </c>
      <c r="G13" s="311" t="s">
        <v>347</v>
      </c>
      <c r="H13" s="446">
        <v>72</v>
      </c>
      <c r="I13" s="311" t="s">
        <v>509</v>
      </c>
      <c r="J13" s="311">
        <v>2014</v>
      </c>
      <c r="K13" s="311"/>
      <c r="L13" s="446">
        <v>5515</v>
      </c>
      <c r="M13" s="311" t="s">
        <v>348</v>
      </c>
      <c r="N13" s="311"/>
      <c r="O13" s="311"/>
      <c r="P13" s="449">
        <v>100000000</v>
      </c>
      <c r="Q13" s="445" t="s">
        <v>349</v>
      </c>
      <c r="R13" s="311"/>
      <c r="S13" s="448" t="s">
        <v>71</v>
      </c>
      <c r="T13" s="165"/>
    </row>
    <row r="14" spans="1:24" ht="30" x14ac:dyDescent="0.25">
      <c r="A14" s="445">
        <f t="shared" ref="A14:A20" si="0">A13+1</f>
        <v>3</v>
      </c>
      <c r="B14" s="534" t="s">
        <v>354</v>
      </c>
      <c r="C14" s="310"/>
      <c r="D14" s="311"/>
      <c r="E14" s="311"/>
      <c r="F14" s="311" t="s">
        <v>346</v>
      </c>
      <c r="G14" s="311" t="s">
        <v>351</v>
      </c>
      <c r="H14" s="446">
        <v>11.2</v>
      </c>
      <c r="I14" s="311" t="s">
        <v>509</v>
      </c>
      <c r="J14" s="311">
        <v>2015</v>
      </c>
      <c r="K14" s="311"/>
      <c r="L14" s="446">
        <v>5515</v>
      </c>
      <c r="M14" s="311" t="s">
        <v>348</v>
      </c>
      <c r="N14" s="311"/>
      <c r="O14" s="311"/>
      <c r="P14" s="450">
        <v>40000000</v>
      </c>
      <c r="Q14" s="445" t="s">
        <v>353</v>
      </c>
      <c r="R14" s="311"/>
      <c r="S14" s="448" t="s">
        <v>64</v>
      </c>
    </row>
    <row r="15" spans="1:24" ht="30" x14ac:dyDescent="0.25">
      <c r="A15" s="445">
        <f t="shared" si="0"/>
        <v>4</v>
      </c>
      <c r="B15" s="535" t="s">
        <v>558</v>
      </c>
      <c r="C15" s="310"/>
      <c r="D15" s="311"/>
      <c r="E15" s="311"/>
      <c r="F15" s="311" t="s">
        <v>346</v>
      </c>
      <c r="G15" s="311" t="s">
        <v>284</v>
      </c>
      <c r="H15" s="446">
        <v>84</v>
      </c>
      <c r="I15" s="311" t="s">
        <v>509</v>
      </c>
      <c r="J15" s="311">
        <v>1995</v>
      </c>
      <c r="K15" s="311"/>
      <c r="L15" s="446">
        <v>5515</v>
      </c>
      <c r="M15" s="311" t="s">
        <v>348</v>
      </c>
      <c r="N15" s="311"/>
      <c r="O15" s="311" t="s">
        <v>577</v>
      </c>
      <c r="P15" s="451">
        <v>15000000</v>
      </c>
      <c r="Q15" s="445" t="s">
        <v>349</v>
      </c>
      <c r="R15" s="311"/>
      <c r="S15" s="452" t="s">
        <v>69</v>
      </c>
      <c r="X15" s="165">
        <f>P12+P14+P17+P30</f>
        <v>479024000</v>
      </c>
    </row>
    <row r="16" spans="1:24" ht="60" x14ac:dyDescent="0.25">
      <c r="A16" s="445">
        <f t="shared" si="0"/>
        <v>5</v>
      </c>
      <c r="B16" s="534" t="s">
        <v>559</v>
      </c>
      <c r="C16" s="310"/>
      <c r="D16" s="311"/>
      <c r="E16" s="311"/>
      <c r="F16" s="311" t="s">
        <v>346</v>
      </c>
      <c r="G16" s="311" t="s">
        <v>284</v>
      </c>
      <c r="H16" s="446">
        <v>84</v>
      </c>
      <c r="I16" s="311" t="s">
        <v>509</v>
      </c>
      <c r="J16" s="311">
        <v>2013</v>
      </c>
      <c r="K16" s="311"/>
      <c r="L16" s="446">
        <v>5515</v>
      </c>
      <c r="M16" s="311" t="s">
        <v>348</v>
      </c>
      <c r="N16" s="311"/>
      <c r="O16" s="311" t="s">
        <v>577</v>
      </c>
      <c r="P16" s="316">
        <v>105000000</v>
      </c>
      <c r="Q16" s="445" t="s">
        <v>353</v>
      </c>
      <c r="R16" s="311"/>
      <c r="S16" s="452" t="s">
        <v>74</v>
      </c>
    </row>
    <row r="17" spans="1:19" ht="30" x14ac:dyDescent="0.25">
      <c r="A17" s="445">
        <f t="shared" si="0"/>
        <v>6</v>
      </c>
      <c r="B17" s="534" t="s">
        <v>560</v>
      </c>
      <c r="C17" s="310"/>
      <c r="D17" s="311"/>
      <c r="E17" s="311"/>
      <c r="F17" s="311" t="s">
        <v>346</v>
      </c>
      <c r="G17" s="311" t="s">
        <v>284</v>
      </c>
      <c r="H17" s="446">
        <v>15</v>
      </c>
      <c r="I17" s="311" t="s">
        <v>509</v>
      </c>
      <c r="J17" s="311">
        <v>2015</v>
      </c>
      <c r="K17" s="311"/>
      <c r="L17" s="446">
        <v>5515</v>
      </c>
      <c r="M17" s="311" t="s">
        <v>348</v>
      </c>
      <c r="N17" s="311"/>
      <c r="O17" s="311"/>
      <c r="P17" s="450">
        <v>25000000</v>
      </c>
      <c r="Q17" s="445" t="s">
        <v>353</v>
      </c>
      <c r="R17" s="311"/>
      <c r="S17" s="448" t="s">
        <v>64</v>
      </c>
    </row>
    <row r="18" spans="1:19" x14ac:dyDescent="0.25">
      <c r="A18" s="445">
        <f t="shared" si="0"/>
        <v>7</v>
      </c>
      <c r="B18" s="534" t="s">
        <v>355</v>
      </c>
      <c r="C18" s="310"/>
      <c r="D18" s="311"/>
      <c r="E18" s="311"/>
      <c r="F18" s="311" t="s">
        <v>346</v>
      </c>
      <c r="G18" s="311" t="s">
        <v>347</v>
      </c>
      <c r="H18" s="446">
        <v>71</v>
      </c>
      <c r="I18" s="311" t="s">
        <v>509</v>
      </c>
      <c r="J18" s="311">
        <v>2017</v>
      </c>
      <c r="K18" s="311"/>
      <c r="L18" s="446">
        <v>5515</v>
      </c>
      <c r="M18" s="311" t="s">
        <v>348</v>
      </c>
      <c r="N18" s="311"/>
      <c r="O18" s="311"/>
      <c r="P18" s="453">
        <v>12500000</v>
      </c>
      <c r="Q18" s="445" t="s">
        <v>353</v>
      </c>
      <c r="R18" s="311"/>
      <c r="S18" s="454" t="s">
        <v>85</v>
      </c>
    </row>
    <row r="19" spans="1:19" ht="45" x14ac:dyDescent="0.25">
      <c r="A19" s="445">
        <f t="shared" si="0"/>
        <v>8</v>
      </c>
      <c r="B19" s="455" t="s">
        <v>576</v>
      </c>
      <c r="C19" s="309"/>
      <c r="D19" s="311"/>
      <c r="E19" s="311"/>
      <c r="F19" s="311" t="s">
        <v>346</v>
      </c>
      <c r="G19" s="311" t="s">
        <v>284</v>
      </c>
      <c r="H19" s="446">
        <v>16</v>
      </c>
      <c r="I19" s="311" t="s">
        <v>509</v>
      </c>
      <c r="J19" s="311">
        <v>2018</v>
      </c>
      <c r="K19" s="311"/>
      <c r="L19" s="446">
        <v>5515</v>
      </c>
      <c r="M19" s="311" t="s">
        <v>348</v>
      </c>
      <c r="N19" s="311"/>
      <c r="O19" s="311" t="s">
        <v>578</v>
      </c>
      <c r="P19" s="456">
        <v>33688000</v>
      </c>
      <c r="Q19" s="445" t="s">
        <v>353</v>
      </c>
      <c r="R19" s="311"/>
      <c r="S19" s="452" t="s">
        <v>70</v>
      </c>
    </row>
    <row r="20" spans="1:19" ht="30" x14ac:dyDescent="0.25">
      <c r="A20" s="445">
        <f t="shared" si="0"/>
        <v>9</v>
      </c>
      <c r="B20" s="534" t="s">
        <v>561</v>
      </c>
      <c r="C20" s="310"/>
      <c r="D20" s="311"/>
      <c r="E20" s="311"/>
      <c r="F20" s="311" t="s">
        <v>346</v>
      </c>
      <c r="G20" s="311" t="s">
        <v>284</v>
      </c>
      <c r="H20" s="311">
        <v>7</v>
      </c>
      <c r="I20" s="311" t="s">
        <v>509</v>
      </c>
      <c r="J20" s="311">
        <v>2013</v>
      </c>
      <c r="K20" s="311"/>
      <c r="L20" s="446">
        <v>5515</v>
      </c>
      <c r="M20" s="311" t="s">
        <v>348</v>
      </c>
      <c r="N20" s="311"/>
      <c r="O20" s="311"/>
      <c r="P20" s="457">
        <v>7500000</v>
      </c>
      <c r="Q20" s="445" t="s">
        <v>353</v>
      </c>
      <c r="R20" s="311"/>
      <c r="S20" s="452" t="s">
        <v>36</v>
      </c>
    </row>
    <row r="21" spans="1:19" x14ac:dyDescent="0.25">
      <c r="A21" s="179"/>
      <c r="B21" s="611" t="s">
        <v>195</v>
      </c>
      <c r="C21" s="612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80">
        <f>SUM(P12:P20)</f>
        <v>738688000</v>
      </c>
      <c r="Q21" s="181"/>
      <c r="R21" s="179"/>
      <c r="S21" s="178"/>
    </row>
    <row r="22" spans="1:19" x14ac:dyDescent="0.25">
      <c r="A22" s="171"/>
      <c r="B22" s="172"/>
      <c r="C22" s="172"/>
      <c r="D22" s="173"/>
      <c r="E22" s="173"/>
      <c r="F22" s="174"/>
      <c r="G22" s="174"/>
      <c r="H22" s="173"/>
      <c r="I22" s="174"/>
      <c r="J22" s="174"/>
      <c r="K22" s="173"/>
      <c r="L22" s="173"/>
      <c r="M22" s="174"/>
      <c r="N22" s="173"/>
      <c r="O22" s="173"/>
      <c r="P22" s="175"/>
      <c r="Q22" s="176"/>
      <c r="R22" s="173"/>
    </row>
    <row r="23" spans="1:19" ht="15.75" x14ac:dyDescent="0.25">
      <c r="A23" s="579" t="s">
        <v>318</v>
      </c>
      <c r="B23" s="579"/>
      <c r="C23" s="579"/>
      <c r="D23" s="579"/>
      <c r="E23" s="579"/>
      <c r="F23" s="579"/>
      <c r="G23" s="579"/>
      <c r="H23" s="579"/>
      <c r="I23" s="579"/>
      <c r="J23" s="579"/>
      <c r="K23" s="579"/>
      <c r="L23" s="579"/>
      <c r="M23" s="579"/>
      <c r="N23" s="579"/>
      <c r="O23" s="579"/>
      <c r="P23" s="579"/>
      <c r="Q23" s="579"/>
      <c r="R23" s="579"/>
    </row>
    <row r="24" spans="1:19" ht="30" x14ac:dyDescent="0.25">
      <c r="A24" s="315">
        <f>A20+1</f>
        <v>10</v>
      </c>
      <c r="B24" s="455" t="s">
        <v>562</v>
      </c>
      <c r="C24" s="309"/>
      <c r="D24" s="310"/>
      <c r="E24" s="311"/>
      <c r="F24" s="312" t="s">
        <v>346</v>
      </c>
      <c r="G24" s="312" t="s">
        <v>284</v>
      </c>
      <c r="H24" s="311">
        <v>7</v>
      </c>
      <c r="I24" s="312" t="s">
        <v>509</v>
      </c>
      <c r="J24" s="312">
        <v>2019</v>
      </c>
      <c r="K24" s="311"/>
      <c r="L24" s="311">
        <v>5515</v>
      </c>
      <c r="M24" s="312" t="s">
        <v>348</v>
      </c>
      <c r="N24" s="311"/>
      <c r="O24" s="311"/>
      <c r="P24" s="457">
        <v>24008000</v>
      </c>
      <c r="Q24" s="313" t="s">
        <v>353</v>
      </c>
      <c r="R24" s="311"/>
      <c r="S24" s="452" t="s">
        <v>36</v>
      </c>
    </row>
    <row r="25" spans="1:19" x14ac:dyDescent="0.25">
      <c r="A25" s="182">
        <f>A24+1</f>
        <v>11</v>
      </c>
      <c r="B25" s="184"/>
      <c r="C25" s="185"/>
      <c r="D25" s="183"/>
      <c r="E25" s="164"/>
      <c r="F25" s="167"/>
      <c r="G25" s="167"/>
      <c r="H25" s="164"/>
      <c r="I25" s="167"/>
      <c r="J25" s="167"/>
      <c r="K25" s="164"/>
      <c r="L25" s="164"/>
      <c r="M25" s="167"/>
      <c r="N25" s="164"/>
      <c r="O25" s="164"/>
      <c r="P25" s="166"/>
      <c r="Q25" s="168"/>
      <c r="R25" s="164"/>
      <c r="S25" s="177"/>
    </row>
    <row r="26" spans="1:19" x14ac:dyDescent="0.25">
      <c r="A26" s="186"/>
      <c r="B26" s="620" t="s">
        <v>195</v>
      </c>
      <c r="C26" s="621"/>
      <c r="D26" s="186"/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7">
        <f>SUM(P24:P25)</f>
        <v>24008000</v>
      </c>
      <c r="Q26" s="186"/>
      <c r="R26" s="186"/>
      <c r="S26" s="178"/>
    </row>
    <row r="27" spans="1:19" x14ac:dyDescent="0.25">
      <c r="A27" s="160"/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</row>
    <row r="28" spans="1:19" ht="15.75" x14ac:dyDescent="0.25">
      <c r="A28" s="579" t="s">
        <v>606</v>
      </c>
      <c r="B28" s="579"/>
      <c r="C28" s="579"/>
      <c r="D28" s="579"/>
      <c r="E28" s="579"/>
      <c r="F28" s="579"/>
      <c r="G28" s="579"/>
      <c r="H28" s="579"/>
      <c r="I28" s="579"/>
      <c r="J28" s="579"/>
      <c r="K28" s="579"/>
      <c r="L28" s="579"/>
      <c r="M28" s="579"/>
      <c r="N28" s="579"/>
      <c r="O28" s="579"/>
      <c r="P28" s="579"/>
      <c r="Q28" s="579"/>
      <c r="R28" s="579"/>
    </row>
    <row r="29" spans="1:19" ht="45" x14ac:dyDescent="0.25">
      <c r="A29" s="315">
        <f>A26+1</f>
        <v>1</v>
      </c>
      <c r="B29" s="308" t="s">
        <v>611</v>
      </c>
      <c r="C29" s="309"/>
      <c r="D29" s="310"/>
      <c r="E29" s="311"/>
      <c r="F29" s="312" t="s">
        <v>346</v>
      </c>
      <c r="G29" s="312" t="s">
        <v>284</v>
      </c>
      <c r="H29" s="311"/>
      <c r="I29" s="312" t="s">
        <v>509</v>
      </c>
      <c r="J29" s="312">
        <v>2020</v>
      </c>
      <c r="K29" s="311"/>
      <c r="L29" s="311"/>
      <c r="M29" s="312" t="s">
        <v>348</v>
      </c>
      <c r="N29" s="311"/>
      <c r="O29" s="311"/>
      <c r="P29" s="370">
        <v>12056500</v>
      </c>
      <c r="Q29" s="313" t="s">
        <v>353</v>
      </c>
      <c r="R29" s="311"/>
      <c r="S29" s="314" t="s">
        <v>72</v>
      </c>
    </row>
    <row r="30" spans="1:19" ht="30" x14ac:dyDescent="0.25">
      <c r="A30" s="315">
        <f>A29+1</f>
        <v>2</v>
      </c>
      <c r="B30" s="308" t="s">
        <v>612</v>
      </c>
      <c r="C30" s="309"/>
      <c r="D30" s="310"/>
      <c r="E30" s="311"/>
      <c r="F30" s="312" t="s">
        <v>346</v>
      </c>
      <c r="G30" s="312" t="s">
        <v>284</v>
      </c>
      <c r="H30" s="311"/>
      <c r="I30" s="312" t="s">
        <v>509</v>
      </c>
      <c r="J30" s="312">
        <v>2020</v>
      </c>
      <c r="K30" s="311"/>
      <c r="L30" s="311"/>
      <c r="M30" s="312" t="s">
        <v>348</v>
      </c>
      <c r="N30" s="311"/>
      <c r="O30" s="311"/>
      <c r="P30" s="316">
        <f>13124000+900000</f>
        <v>14024000</v>
      </c>
      <c r="Q30" s="313" t="s">
        <v>353</v>
      </c>
      <c r="R30" s="311"/>
      <c r="S30" s="317" t="s">
        <v>64</v>
      </c>
    </row>
    <row r="31" spans="1:19" x14ac:dyDescent="0.25">
      <c r="A31" s="182"/>
      <c r="B31" s="625"/>
      <c r="C31" s="625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77"/>
    </row>
    <row r="32" spans="1:19" x14ac:dyDescent="0.25">
      <c r="A32" s="349"/>
      <c r="B32" s="623" t="s">
        <v>195</v>
      </c>
      <c r="C32" s="624"/>
      <c r="D32" s="349"/>
      <c r="E32" s="349"/>
      <c r="F32" s="349"/>
      <c r="G32" s="349"/>
      <c r="H32" s="349"/>
      <c r="I32" s="349"/>
      <c r="J32" s="349"/>
      <c r="K32" s="349"/>
      <c r="L32" s="349"/>
      <c r="M32" s="349"/>
      <c r="N32" s="349"/>
      <c r="O32" s="349"/>
      <c r="P32" s="350">
        <f>SUM(P29:P31)</f>
        <v>26080500</v>
      </c>
      <c r="Q32" s="349"/>
      <c r="R32" s="349"/>
      <c r="S32" s="178"/>
    </row>
    <row r="33" spans="1:19" x14ac:dyDescent="0.25">
      <c r="A33" s="396"/>
      <c r="B33" s="378"/>
      <c r="C33" s="379"/>
      <c r="D33" s="347"/>
      <c r="E33" s="347"/>
      <c r="F33" s="347"/>
      <c r="G33" s="347"/>
      <c r="H33" s="347"/>
      <c r="I33" s="347"/>
      <c r="J33" s="347"/>
      <c r="K33" s="347"/>
      <c r="L33" s="347"/>
      <c r="M33" s="347"/>
      <c r="N33" s="347"/>
      <c r="O33" s="347"/>
      <c r="P33" s="348"/>
      <c r="Q33" s="347"/>
      <c r="R33" s="347"/>
      <c r="S33" s="178"/>
    </row>
    <row r="34" spans="1:19" ht="15.75" x14ac:dyDescent="0.25">
      <c r="A34" s="602" t="s">
        <v>636</v>
      </c>
      <c r="B34" s="602"/>
      <c r="C34" s="602"/>
      <c r="D34" s="602"/>
      <c r="E34" s="602"/>
      <c r="F34" s="602"/>
      <c r="G34" s="602"/>
      <c r="H34" s="602"/>
      <c r="I34" s="602"/>
      <c r="J34" s="602"/>
      <c r="K34" s="602"/>
      <c r="L34" s="602"/>
      <c r="M34" s="602"/>
      <c r="N34" s="602"/>
      <c r="O34" s="602"/>
      <c r="P34" s="602"/>
      <c r="Q34" s="602"/>
      <c r="R34" s="603"/>
      <c r="S34" s="178"/>
    </row>
    <row r="35" spans="1:19" ht="15.75" x14ac:dyDescent="0.25">
      <c r="A35" s="400"/>
      <c r="B35" s="400"/>
      <c r="C35" s="401"/>
      <c r="D35" s="402"/>
      <c r="E35" s="402"/>
      <c r="F35" s="402"/>
      <c r="G35" s="402"/>
      <c r="H35" s="402"/>
      <c r="I35" s="402"/>
      <c r="J35" s="402"/>
      <c r="K35" s="402"/>
      <c r="L35" s="402"/>
      <c r="M35" s="402"/>
      <c r="N35" s="402"/>
      <c r="O35" s="402"/>
      <c r="P35" s="402"/>
      <c r="Q35" s="402"/>
      <c r="R35" s="398"/>
      <c r="S35" s="178"/>
    </row>
    <row r="36" spans="1:19" ht="15.75" x14ac:dyDescent="0.25">
      <c r="A36" s="400"/>
      <c r="B36" s="399"/>
      <c r="C36" s="401"/>
      <c r="D36" s="402"/>
      <c r="E36" s="402"/>
      <c r="F36" s="402"/>
      <c r="G36" s="402"/>
      <c r="H36" s="402"/>
      <c r="I36" s="402"/>
      <c r="J36" s="402"/>
      <c r="K36" s="402"/>
      <c r="L36" s="402"/>
      <c r="M36" s="402"/>
      <c r="N36" s="402"/>
      <c r="O36" s="402"/>
      <c r="P36" s="402"/>
      <c r="Q36" s="402"/>
      <c r="R36" s="397"/>
      <c r="S36" s="178"/>
    </row>
    <row r="37" spans="1:19" x14ac:dyDescent="0.25">
      <c r="A37" s="403"/>
      <c r="B37" s="404" t="s">
        <v>640</v>
      </c>
      <c r="C37" s="405"/>
      <c r="D37" s="406"/>
      <c r="E37" s="406"/>
      <c r="F37" s="406"/>
      <c r="G37" s="406"/>
      <c r="H37" s="406"/>
      <c r="I37" s="406"/>
      <c r="J37" s="406"/>
      <c r="K37" s="406"/>
      <c r="L37" s="406"/>
      <c r="M37" s="406"/>
      <c r="N37" s="406"/>
      <c r="O37" s="406"/>
      <c r="P37" s="407">
        <v>0</v>
      </c>
      <c r="Q37" s="406"/>
      <c r="R37" s="406"/>
      <c r="S37" s="178"/>
    </row>
    <row r="38" spans="1:19" x14ac:dyDescent="0.25">
      <c r="A38" s="475"/>
      <c r="B38" s="475"/>
      <c r="C38" s="475"/>
      <c r="D38" s="476"/>
      <c r="E38" s="476"/>
      <c r="F38" s="476"/>
      <c r="G38" s="476"/>
      <c r="H38" s="476"/>
      <c r="I38" s="476"/>
      <c r="J38" s="476"/>
      <c r="K38" s="476"/>
      <c r="L38" s="476"/>
      <c r="M38" s="476"/>
      <c r="N38" s="476"/>
      <c r="O38" s="476"/>
      <c r="P38" s="477"/>
      <c r="Q38" s="476"/>
      <c r="R38" s="476"/>
      <c r="S38" s="478"/>
    </row>
    <row r="39" spans="1:19" ht="15.75" x14ac:dyDescent="0.25">
      <c r="A39" s="602" t="s">
        <v>675</v>
      </c>
      <c r="B39" s="602"/>
      <c r="C39" s="602"/>
      <c r="D39" s="602"/>
      <c r="E39" s="602"/>
      <c r="F39" s="602"/>
      <c r="G39" s="602"/>
      <c r="H39" s="602"/>
      <c r="I39" s="602"/>
      <c r="J39" s="602"/>
      <c r="K39" s="602"/>
      <c r="L39" s="602"/>
      <c r="M39" s="602"/>
      <c r="N39" s="602"/>
      <c r="O39" s="602"/>
      <c r="P39" s="602"/>
      <c r="Q39" s="602"/>
      <c r="R39" s="603"/>
      <c r="S39" s="178"/>
    </row>
    <row r="40" spans="1:19" s="497" customFormat="1" x14ac:dyDescent="0.25">
      <c r="A40" s="495">
        <v>1</v>
      </c>
      <c r="B40" s="536" t="s">
        <v>696</v>
      </c>
      <c r="C40" s="537"/>
      <c r="D40" s="495"/>
      <c r="E40" s="495"/>
      <c r="F40" s="483" t="s">
        <v>346</v>
      </c>
      <c r="G40" s="495" t="s">
        <v>284</v>
      </c>
      <c r="H40" s="495"/>
      <c r="I40" s="495" t="s">
        <v>509</v>
      </c>
      <c r="J40" s="495">
        <v>2022</v>
      </c>
      <c r="K40" s="495"/>
      <c r="L40" s="495"/>
      <c r="M40" s="495" t="s">
        <v>348</v>
      </c>
      <c r="N40" s="495"/>
      <c r="O40" s="495"/>
      <c r="P40" s="496">
        <v>14240000</v>
      </c>
      <c r="Q40" s="483" t="s">
        <v>353</v>
      </c>
      <c r="R40" s="495"/>
      <c r="S40" s="269" t="s">
        <v>85</v>
      </c>
    </row>
    <row r="41" spans="1:19" s="497" customFormat="1" ht="45" x14ac:dyDescent="0.25">
      <c r="A41" s="498">
        <v>2</v>
      </c>
      <c r="B41" s="490" t="s">
        <v>697</v>
      </c>
      <c r="C41" s="491"/>
      <c r="D41" s="499"/>
      <c r="E41" s="499"/>
      <c r="F41" s="483" t="s">
        <v>346</v>
      </c>
      <c r="G41" s="495" t="s">
        <v>284</v>
      </c>
      <c r="H41" s="499"/>
      <c r="I41" s="495" t="s">
        <v>509</v>
      </c>
      <c r="J41" s="499">
        <v>2022</v>
      </c>
      <c r="K41" s="499"/>
      <c r="L41" s="499"/>
      <c r="M41" s="495" t="s">
        <v>348</v>
      </c>
      <c r="N41" s="499"/>
      <c r="O41" s="499"/>
      <c r="P41" s="500">
        <v>7600000</v>
      </c>
      <c r="Q41" s="483" t="s">
        <v>353</v>
      </c>
      <c r="R41" s="495"/>
      <c r="S41" s="452" t="s">
        <v>70</v>
      </c>
    </row>
    <row r="42" spans="1:19" s="497" customFormat="1" ht="30" x14ac:dyDescent="0.25">
      <c r="A42" s="498">
        <v>3</v>
      </c>
      <c r="B42" s="490" t="s">
        <v>698</v>
      </c>
      <c r="C42" s="491"/>
      <c r="D42" s="499"/>
      <c r="E42" s="499"/>
      <c r="F42" s="483" t="s">
        <v>346</v>
      </c>
      <c r="G42" s="495" t="s">
        <v>284</v>
      </c>
      <c r="H42" s="499"/>
      <c r="I42" s="495" t="s">
        <v>509</v>
      </c>
      <c r="J42" s="499">
        <v>2022</v>
      </c>
      <c r="K42" s="499"/>
      <c r="L42" s="499"/>
      <c r="M42" s="495" t="s">
        <v>348</v>
      </c>
      <c r="N42" s="499"/>
      <c r="O42" s="499"/>
      <c r="P42" s="500">
        <v>17410000</v>
      </c>
      <c r="Q42" s="483" t="s">
        <v>353</v>
      </c>
      <c r="R42" s="495"/>
      <c r="S42" s="501" t="s">
        <v>64</v>
      </c>
    </row>
    <row r="43" spans="1:19" ht="52.5" customHeight="1" x14ac:dyDescent="0.25">
      <c r="A43" s="479">
        <v>4</v>
      </c>
      <c r="B43" s="482" t="s">
        <v>677</v>
      </c>
      <c r="C43" s="481"/>
      <c r="D43" s="483"/>
      <c r="E43" s="483"/>
      <c r="F43" s="483" t="s">
        <v>346</v>
      </c>
      <c r="G43" s="483" t="s">
        <v>678</v>
      </c>
      <c r="H43" s="483">
        <v>35.83</v>
      </c>
      <c r="I43" s="483" t="s">
        <v>509</v>
      </c>
      <c r="J43" s="483">
        <v>2022</v>
      </c>
      <c r="K43" s="483"/>
      <c r="L43" s="483"/>
      <c r="M43" s="483" t="s">
        <v>348</v>
      </c>
      <c r="N43" s="483"/>
      <c r="O43" s="483"/>
      <c r="P43" s="485">
        <v>10750000</v>
      </c>
      <c r="Q43" s="483" t="s">
        <v>353</v>
      </c>
      <c r="R43" s="484"/>
      <c r="S43" s="317" t="s">
        <v>64</v>
      </c>
    </row>
    <row r="44" spans="1:19" ht="15.75" x14ac:dyDescent="0.25">
      <c r="A44" s="400"/>
      <c r="B44" s="399"/>
      <c r="C44" s="401"/>
      <c r="D44" s="402"/>
      <c r="E44" s="402"/>
      <c r="F44" s="402"/>
      <c r="G44" s="402"/>
      <c r="H44" s="402"/>
      <c r="I44" s="402"/>
      <c r="J44" s="402"/>
      <c r="K44" s="402"/>
      <c r="L44" s="402"/>
      <c r="M44" s="402"/>
      <c r="N44" s="402"/>
      <c r="O44" s="402"/>
      <c r="P44" s="402"/>
      <c r="Q44" s="402"/>
      <c r="R44" s="397"/>
      <c r="S44" s="178"/>
    </row>
    <row r="45" spans="1:19" x14ac:dyDescent="0.25">
      <c r="A45" s="403"/>
      <c r="B45" s="404" t="s">
        <v>676</v>
      </c>
      <c r="C45" s="405"/>
      <c r="D45" s="406"/>
      <c r="E45" s="406"/>
      <c r="F45" s="406"/>
      <c r="G45" s="406"/>
      <c r="H45" s="406"/>
      <c r="I45" s="406"/>
      <c r="J45" s="406"/>
      <c r="K45" s="406"/>
      <c r="L45" s="406"/>
      <c r="M45" s="406"/>
      <c r="N45" s="406"/>
      <c r="O45" s="406"/>
      <c r="P45" s="407">
        <f>SUM(P40:P44)</f>
        <v>50000000</v>
      </c>
      <c r="Q45" s="406"/>
      <c r="R45" s="406"/>
      <c r="S45" s="178"/>
    </row>
    <row r="46" spans="1:19" x14ac:dyDescent="0.25">
      <c r="A46" s="606" t="s">
        <v>266</v>
      </c>
      <c r="B46" s="607"/>
      <c r="C46" s="608"/>
      <c r="D46" s="347"/>
      <c r="E46" s="347"/>
      <c r="F46" s="347"/>
      <c r="G46" s="347"/>
      <c r="H46" s="347"/>
      <c r="I46" s="347"/>
      <c r="J46" s="347"/>
      <c r="K46" s="347"/>
      <c r="L46" s="347"/>
      <c r="M46" s="347"/>
      <c r="N46" s="347"/>
      <c r="O46" s="347"/>
      <c r="P46" s="348">
        <f>P21+P26+P32+P37+P45</f>
        <v>838776500</v>
      </c>
      <c r="Q46" s="347"/>
      <c r="R46" s="347"/>
      <c r="S46" s="178"/>
    </row>
    <row r="47" spans="1:19" x14ac:dyDescent="0.25">
      <c r="A47" s="613"/>
      <c r="B47" s="613"/>
      <c r="C47" s="613"/>
      <c r="D47" s="613"/>
      <c r="E47" s="613"/>
      <c r="F47" s="613"/>
      <c r="G47" s="613"/>
      <c r="H47" s="613"/>
      <c r="I47" s="613"/>
      <c r="J47" s="613"/>
      <c r="K47" s="613"/>
      <c r="L47" s="613"/>
      <c r="M47" s="613"/>
      <c r="N47" s="613"/>
      <c r="O47" s="613"/>
      <c r="P47" s="613"/>
      <c r="Q47" s="613"/>
      <c r="R47" s="613"/>
      <c r="S47" s="613"/>
    </row>
    <row r="48" spans="1:19" ht="15.75" x14ac:dyDescent="0.25">
      <c r="A48" s="602" t="s">
        <v>707</v>
      </c>
      <c r="B48" s="602"/>
      <c r="C48" s="602"/>
      <c r="D48" s="602"/>
      <c r="E48" s="602"/>
      <c r="F48" s="602"/>
      <c r="G48" s="602"/>
      <c r="H48" s="602"/>
      <c r="I48" s="602"/>
      <c r="J48" s="602"/>
      <c r="K48" s="602"/>
      <c r="L48" s="602"/>
      <c r="M48" s="602"/>
      <c r="N48" s="602"/>
      <c r="O48" s="602"/>
      <c r="P48" s="602"/>
      <c r="Q48" s="602"/>
      <c r="R48" s="603"/>
      <c r="S48" s="516"/>
    </row>
    <row r="49" spans="1:20" x14ac:dyDescent="0.25">
      <c r="A49" s="495">
        <v>1</v>
      </c>
      <c r="B49" s="604"/>
      <c r="C49" s="605"/>
      <c r="D49" s="495"/>
      <c r="E49" s="495"/>
      <c r="F49" s="483"/>
      <c r="G49" s="495"/>
      <c r="H49" s="495"/>
      <c r="I49" s="495"/>
      <c r="J49" s="495"/>
      <c r="K49" s="495"/>
      <c r="L49" s="495"/>
      <c r="M49" s="495"/>
      <c r="N49" s="495"/>
      <c r="O49" s="495"/>
      <c r="P49" s="496"/>
      <c r="Q49" s="483"/>
      <c r="R49" s="495"/>
      <c r="S49" s="269"/>
    </row>
    <row r="50" spans="1:20" x14ac:dyDescent="0.25">
      <c r="A50" s="498">
        <v>2</v>
      </c>
      <c r="B50" s="490"/>
      <c r="C50" s="491"/>
      <c r="D50" s="499"/>
      <c r="E50" s="499"/>
      <c r="F50" s="483"/>
      <c r="G50" s="495"/>
      <c r="H50" s="499"/>
      <c r="I50" s="495"/>
      <c r="J50" s="499"/>
      <c r="K50" s="499"/>
      <c r="L50" s="499"/>
      <c r="M50" s="495"/>
      <c r="N50" s="499"/>
      <c r="O50" s="499"/>
      <c r="P50" s="500"/>
      <c r="Q50" s="483"/>
      <c r="R50" s="495"/>
      <c r="S50" s="452"/>
    </row>
    <row r="51" spans="1:20" x14ac:dyDescent="0.25">
      <c r="A51" s="498">
        <v>3</v>
      </c>
      <c r="B51" s="490"/>
      <c r="C51" s="491"/>
      <c r="D51" s="499"/>
      <c r="E51" s="499"/>
      <c r="F51" s="483"/>
      <c r="G51" s="495"/>
      <c r="H51" s="499"/>
      <c r="I51" s="495"/>
      <c r="J51" s="499"/>
      <c r="K51" s="499"/>
      <c r="L51" s="499"/>
      <c r="M51" s="495"/>
      <c r="N51" s="499"/>
      <c r="O51" s="499"/>
      <c r="P51" s="500"/>
      <c r="Q51" s="483"/>
      <c r="R51" s="495"/>
      <c r="S51" s="501"/>
    </row>
    <row r="52" spans="1:20" x14ac:dyDescent="0.25">
      <c r="A52" s="479">
        <v>4</v>
      </c>
      <c r="B52" s="482"/>
      <c r="C52" s="481"/>
      <c r="D52" s="483"/>
      <c r="E52" s="483"/>
      <c r="F52" s="483"/>
      <c r="G52" s="483"/>
      <c r="H52" s="483"/>
      <c r="I52" s="483"/>
      <c r="J52" s="483"/>
      <c r="K52" s="483"/>
      <c r="L52" s="483"/>
      <c r="M52" s="483"/>
      <c r="N52" s="483"/>
      <c r="O52" s="483"/>
      <c r="P52" s="485"/>
      <c r="Q52" s="483"/>
      <c r="R52" s="484"/>
      <c r="S52" s="317"/>
    </row>
    <row r="53" spans="1:20" x14ac:dyDescent="0.25">
      <c r="A53" s="403"/>
      <c r="B53" s="404" t="s">
        <v>706</v>
      </c>
      <c r="C53" s="405"/>
      <c r="D53" s="406"/>
      <c r="E53" s="406"/>
      <c r="F53" s="406"/>
      <c r="G53" s="406"/>
      <c r="H53" s="406"/>
      <c r="I53" s="406"/>
      <c r="J53" s="406"/>
      <c r="K53" s="406"/>
      <c r="L53" s="406"/>
      <c r="M53" s="406"/>
      <c r="N53" s="406"/>
      <c r="O53" s="406"/>
      <c r="P53" s="407">
        <f>SUM(P49:P52)</f>
        <v>0</v>
      </c>
      <c r="Q53" s="406"/>
      <c r="R53" s="406"/>
      <c r="S53" s="178"/>
      <c r="T53" s="169"/>
    </row>
    <row r="54" spans="1:20" x14ac:dyDescent="0.25">
      <c r="A54" s="606" t="s">
        <v>266</v>
      </c>
      <c r="B54" s="607"/>
      <c r="C54" s="608"/>
      <c r="D54" s="347"/>
      <c r="E54" s="347"/>
      <c r="F54" s="347"/>
      <c r="G54" s="347"/>
      <c r="H54" s="347"/>
      <c r="I54" s="347"/>
      <c r="J54" s="347"/>
      <c r="K54" s="347"/>
      <c r="L54" s="347"/>
      <c r="M54" s="347"/>
      <c r="N54" s="347"/>
      <c r="O54" s="347"/>
      <c r="P54" s="348">
        <f>P46+P53</f>
        <v>838776500</v>
      </c>
      <c r="Q54" s="347"/>
      <c r="R54" s="347"/>
      <c r="S54" s="178"/>
      <c r="T54" s="169"/>
    </row>
    <row r="55" spans="1:20" ht="15.75" x14ac:dyDescent="0.25">
      <c r="A55" s="602" t="s">
        <v>726</v>
      </c>
      <c r="B55" s="602"/>
      <c r="C55" s="602"/>
      <c r="D55" s="602"/>
      <c r="E55" s="602"/>
      <c r="F55" s="602"/>
      <c r="G55" s="602"/>
      <c r="H55" s="602"/>
      <c r="I55" s="602"/>
      <c r="J55" s="602"/>
      <c r="K55" s="602"/>
      <c r="L55" s="602"/>
      <c r="M55" s="602"/>
      <c r="N55" s="602"/>
      <c r="O55" s="602"/>
      <c r="P55" s="602"/>
      <c r="Q55" s="602"/>
      <c r="R55" s="603"/>
      <c r="S55" s="516"/>
      <c r="T55" s="169"/>
    </row>
    <row r="56" spans="1:20" x14ac:dyDescent="0.25">
      <c r="A56" s="495">
        <v>1</v>
      </c>
      <c r="B56" s="604"/>
      <c r="C56" s="605"/>
      <c r="D56" s="495"/>
      <c r="E56" s="495"/>
      <c r="F56" s="483"/>
      <c r="G56" s="495"/>
      <c r="H56" s="495"/>
      <c r="I56" s="495"/>
      <c r="J56" s="495"/>
      <c r="K56" s="495"/>
      <c r="L56" s="495"/>
      <c r="M56" s="495"/>
      <c r="N56" s="495"/>
      <c r="O56" s="495"/>
      <c r="P56" s="496"/>
      <c r="Q56" s="483"/>
      <c r="R56" s="495"/>
      <c r="S56" s="269"/>
      <c r="T56" s="169"/>
    </row>
    <row r="57" spans="1:20" x14ac:dyDescent="0.25">
      <c r="A57" s="498">
        <v>2</v>
      </c>
      <c r="B57" s="490"/>
      <c r="C57" s="491"/>
      <c r="D57" s="499"/>
      <c r="E57" s="499"/>
      <c r="F57" s="483"/>
      <c r="G57" s="495"/>
      <c r="H57" s="499"/>
      <c r="I57" s="495"/>
      <c r="J57" s="499"/>
      <c r="K57" s="499"/>
      <c r="L57" s="499"/>
      <c r="M57" s="495"/>
      <c r="N57" s="499"/>
      <c r="O57" s="499"/>
      <c r="P57" s="500"/>
      <c r="Q57" s="483"/>
      <c r="R57" s="495"/>
      <c r="S57" s="452"/>
    </row>
    <row r="58" spans="1:20" x14ac:dyDescent="0.25">
      <c r="A58" s="498">
        <v>3</v>
      </c>
      <c r="B58" s="490"/>
      <c r="C58" s="491"/>
      <c r="D58" s="499"/>
      <c r="E58" s="499"/>
      <c r="F58" s="483"/>
      <c r="G58" s="495"/>
      <c r="H58" s="499"/>
      <c r="I58" s="495"/>
      <c r="J58" s="499"/>
      <c r="K58" s="499"/>
      <c r="L58" s="499"/>
      <c r="M58" s="495"/>
      <c r="N58" s="499"/>
      <c r="O58" s="499"/>
      <c r="P58" s="500"/>
      <c r="Q58" s="483"/>
      <c r="R58" s="495"/>
      <c r="S58" s="501"/>
    </row>
    <row r="59" spans="1:20" x14ac:dyDescent="0.25">
      <c r="A59" s="479">
        <v>4</v>
      </c>
      <c r="B59" s="482"/>
      <c r="C59" s="481"/>
      <c r="D59" s="483"/>
      <c r="E59" s="483"/>
      <c r="F59" s="483"/>
      <c r="G59" s="483"/>
      <c r="H59" s="483"/>
      <c r="I59" s="483"/>
      <c r="J59" s="483"/>
      <c r="K59" s="483"/>
      <c r="L59" s="483"/>
      <c r="M59" s="483"/>
      <c r="N59" s="483"/>
      <c r="O59" s="483"/>
      <c r="P59" s="485"/>
      <c r="Q59" s="483"/>
      <c r="R59" s="484"/>
      <c r="S59" s="317"/>
    </row>
    <row r="60" spans="1:20" x14ac:dyDescent="0.25">
      <c r="A60" s="403"/>
      <c r="B60" s="404" t="s">
        <v>733</v>
      </c>
      <c r="C60" s="405"/>
      <c r="D60" s="406"/>
      <c r="E60" s="406"/>
      <c r="F60" s="406"/>
      <c r="G60" s="406"/>
      <c r="H60" s="406"/>
      <c r="I60" s="406"/>
      <c r="J60" s="406"/>
      <c r="K60" s="406"/>
      <c r="L60" s="406"/>
      <c r="M60" s="406"/>
      <c r="N60" s="406"/>
      <c r="O60" s="406"/>
      <c r="P60" s="407">
        <f>SUM(P56:P59)</f>
        <v>0</v>
      </c>
      <c r="Q60" s="406"/>
      <c r="R60" s="406"/>
      <c r="S60" s="178"/>
    </row>
    <row r="61" spans="1:20" x14ac:dyDescent="0.25">
      <c r="A61" s="606" t="s">
        <v>266</v>
      </c>
      <c r="B61" s="607"/>
      <c r="C61" s="608"/>
      <c r="D61" s="347"/>
      <c r="E61" s="347"/>
      <c r="F61" s="347"/>
      <c r="G61" s="347"/>
      <c r="H61" s="347"/>
      <c r="I61" s="347"/>
      <c r="J61" s="347"/>
      <c r="K61" s="347"/>
      <c r="L61" s="347"/>
      <c r="M61" s="347"/>
      <c r="N61" s="347"/>
      <c r="O61" s="347"/>
      <c r="P61" s="348">
        <f>P54+P60</f>
        <v>838776500</v>
      </c>
      <c r="Q61" s="347"/>
      <c r="R61" s="347"/>
      <c r="S61" s="178"/>
    </row>
    <row r="62" spans="1:20" ht="15.75" x14ac:dyDescent="0.25">
      <c r="A62" s="602" t="s">
        <v>747</v>
      </c>
      <c r="B62" s="602"/>
      <c r="C62" s="602"/>
      <c r="D62" s="602"/>
      <c r="E62" s="602"/>
      <c r="F62" s="602"/>
      <c r="G62" s="602"/>
      <c r="H62" s="602"/>
      <c r="I62" s="602"/>
      <c r="J62" s="602"/>
      <c r="K62" s="602"/>
      <c r="L62" s="602"/>
      <c r="M62" s="602"/>
      <c r="N62" s="602"/>
      <c r="O62" s="602"/>
      <c r="P62" s="602"/>
      <c r="Q62" s="602"/>
      <c r="R62" s="603"/>
      <c r="S62" s="516"/>
    </row>
    <row r="63" spans="1:20" ht="43.5" customHeight="1" x14ac:dyDescent="0.25">
      <c r="A63" s="495">
        <v>1</v>
      </c>
      <c r="B63" s="626" t="s">
        <v>752</v>
      </c>
      <c r="C63" s="627"/>
      <c r="D63" s="495"/>
      <c r="E63" s="495"/>
      <c r="F63" s="483" t="s">
        <v>751</v>
      </c>
      <c r="G63" s="495" t="s">
        <v>476</v>
      </c>
      <c r="H63" s="495"/>
      <c r="I63" s="495" t="s">
        <v>398</v>
      </c>
      <c r="J63" s="495"/>
      <c r="K63" s="495"/>
      <c r="L63" s="495"/>
      <c r="M63" s="495" t="s">
        <v>527</v>
      </c>
      <c r="N63" s="495"/>
      <c r="O63" s="495"/>
      <c r="P63" s="496">
        <v>8450000</v>
      </c>
      <c r="Q63" s="483"/>
      <c r="R63" s="495"/>
      <c r="S63" s="314" t="s">
        <v>72</v>
      </c>
    </row>
    <row r="64" spans="1:20" ht="45" x14ac:dyDescent="0.25">
      <c r="A64" s="498">
        <v>2</v>
      </c>
      <c r="B64" s="490" t="s">
        <v>753</v>
      </c>
      <c r="C64" s="491"/>
      <c r="D64" s="499"/>
      <c r="E64" s="499"/>
      <c r="F64" s="483" t="s">
        <v>751</v>
      </c>
      <c r="G64" s="495" t="s">
        <v>476</v>
      </c>
      <c r="H64" s="499"/>
      <c r="I64" s="495" t="s">
        <v>398</v>
      </c>
      <c r="J64" s="499"/>
      <c r="K64" s="499"/>
      <c r="L64" s="499"/>
      <c r="M64" s="495" t="s">
        <v>527</v>
      </c>
      <c r="N64" s="499"/>
      <c r="O64" s="499"/>
      <c r="P64" s="500">
        <v>6187500</v>
      </c>
      <c r="Q64" s="483"/>
      <c r="R64" s="495"/>
      <c r="S64" s="314" t="s">
        <v>72</v>
      </c>
    </row>
    <row r="65" spans="1:19" x14ac:dyDescent="0.25">
      <c r="A65" s="498">
        <v>3</v>
      </c>
      <c r="B65" s="490"/>
      <c r="C65" s="491"/>
      <c r="D65" s="499"/>
      <c r="E65" s="499"/>
      <c r="F65" s="483"/>
      <c r="G65" s="495"/>
      <c r="H65" s="499"/>
      <c r="I65" s="495"/>
      <c r="J65" s="499"/>
      <c r="K65" s="499"/>
      <c r="L65" s="499"/>
      <c r="M65" s="495"/>
      <c r="N65" s="499"/>
      <c r="O65" s="499"/>
      <c r="P65" s="500"/>
      <c r="Q65" s="483"/>
      <c r="R65" s="495"/>
      <c r="S65" s="501"/>
    </row>
    <row r="66" spans="1:19" x14ac:dyDescent="0.25">
      <c r="A66" s="479">
        <v>4</v>
      </c>
      <c r="B66" s="482"/>
      <c r="C66" s="481"/>
      <c r="D66" s="483"/>
      <c r="E66" s="483"/>
      <c r="F66" s="483"/>
      <c r="G66" s="483"/>
      <c r="H66" s="483"/>
      <c r="I66" s="483"/>
      <c r="J66" s="483"/>
      <c r="K66" s="483"/>
      <c r="L66" s="483"/>
      <c r="M66" s="483"/>
      <c r="N66" s="483"/>
      <c r="O66" s="483"/>
      <c r="P66" s="485"/>
      <c r="Q66" s="483"/>
      <c r="R66" s="484"/>
      <c r="S66" s="317"/>
    </row>
    <row r="67" spans="1:19" x14ac:dyDescent="0.25">
      <c r="A67" s="403"/>
      <c r="B67" s="404" t="s">
        <v>733</v>
      </c>
      <c r="C67" s="405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>
        <f>SUM(P63:P66)</f>
        <v>14637500</v>
      </c>
      <c r="Q67" s="406"/>
      <c r="R67" s="406"/>
      <c r="S67" s="178"/>
    </row>
    <row r="68" spans="1:19" x14ac:dyDescent="0.25">
      <c r="A68" s="606" t="s">
        <v>266</v>
      </c>
      <c r="B68" s="607"/>
      <c r="C68" s="608"/>
      <c r="D68" s="347"/>
      <c r="E68" s="347"/>
      <c r="F68" s="347"/>
      <c r="G68" s="347"/>
      <c r="H68" s="347"/>
      <c r="I68" s="347"/>
      <c r="J68" s="347"/>
      <c r="K68" s="347"/>
      <c r="L68" s="347"/>
      <c r="M68" s="347"/>
      <c r="N68" s="347"/>
      <c r="O68" s="347"/>
      <c r="P68" s="348">
        <f>P61+P67</f>
        <v>853414000</v>
      </c>
      <c r="Q68" s="347"/>
      <c r="R68" s="347"/>
      <c r="S68" s="178"/>
    </row>
    <row r="69" spans="1:19" x14ac:dyDescent="0.25">
      <c r="A69" s="475"/>
      <c r="B69" s="475"/>
      <c r="C69" s="475"/>
      <c r="D69" s="476"/>
      <c r="E69" s="476"/>
      <c r="F69" s="476"/>
      <c r="G69" s="476"/>
      <c r="H69" s="476"/>
      <c r="I69" s="476"/>
      <c r="J69" s="476"/>
      <c r="K69" s="476"/>
      <c r="L69" s="476"/>
      <c r="M69" s="476"/>
      <c r="N69" s="476"/>
      <c r="O69" s="476"/>
      <c r="P69" s="477"/>
      <c r="Q69" s="476"/>
      <c r="R69" s="476"/>
      <c r="S69" s="478"/>
    </row>
    <row r="70" spans="1:19" x14ac:dyDescent="0.25">
      <c r="A70" s="160"/>
      <c r="B70" s="160"/>
      <c r="C70" s="160"/>
      <c r="D70" s="160"/>
      <c r="E70" s="160"/>
      <c r="F70" s="160"/>
      <c r="G70" s="160"/>
      <c r="H70" s="160"/>
      <c r="I70" s="160"/>
      <c r="J70" s="160"/>
      <c r="K70" s="160"/>
      <c r="L70" s="160"/>
      <c r="M70" s="160"/>
      <c r="N70" s="160"/>
      <c r="O70" s="160"/>
      <c r="P70" s="480"/>
      <c r="Q70" s="160"/>
      <c r="R70" s="160"/>
    </row>
    <row r="71" spans="1:19" x14ac:dyDescent="0.25">
      <c r="A71" s="160"/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  <c r="N71" s="160"/>
      <c r="O71" s="160"/>
      <c r="Q71" s="160"/>
      <c r="R71" s="160"/>
    </row>
    <row r="72" spans="1:19" x14ac:dyDescent="0.25">
      <c r="A72" s="160"/>
      <c r="B72" s="160"/>
      <c r="C72" s="160"/>
      <c r="D72" s="160"/>
      <c r="E72" s="160"/>
      <c r="F72" s="160"/>
      <c r="G72" s="160"/>
      <c r="H72" s="160"/>
      <c r="I72" s="160"/>
      <c r="J72" s="160"/>
      <c r="K72" s="160"/>
      <c r="L72" s="160"/>
      <c r="M72" s="160"/>
      <c r="N72" s="160"/>
      <c r="O72" s="160"/>
      <c r="P72" s="170" t="str">
        <f>'Peralatan Mesin'!P119</f>
        <v>Desa Klego, 31 Desember 2025</v>
      </c>
      <c r="Q72" s="160"/>
      <c r="R72" s="160"/>
    </row>
    <row r="73" spans="1:19" x14ac:dyDescent="0.25">
      <c r="A73" s="160"/>
      <c r="B73" s="160"/>
      <c r="C73" s="160"/>
      <c r="D73" s="160"/>
      <c r="E73" s="170" t="s">
        <v>196</v>
      </c>
      <c r="F73" s="160"/>
      <c r="G73" s="160"/>
      <c r="H73" s="160"/>
      <c r="I73" s="160"/>
      <c r="J73" s="160"/>
      <c r="K73" s="160"/>
      <c r="L73" s="160"/>
      <c r="M73" s="160"/>
      <c r="N73" s="160"/>
      <c r="O73" s="160"/>
      <c r="Q73" s="160"/>
      <c r="R73" s="160"/>
    </row>
    <row r="74" spans="1:19" x14ac:dyDescent="0.25">
      <c r="A74" s="160"/>
      <c r="B74" s="160"/>
      <c r="C74" s="160"/>
      <c r="D74" s="160"/>
      <c r="E74" s="170" t="str">
        <f>'Peralatan Mesin'!B121</f>
        <v>Kepala Desa Klego</v>
      </c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70" t="s">
        <v>197</v>
      </c>
      <c r="Q74" s="160"/>
      <c r="R74" s="160"/>
    </row>
    <row r="75" spans="1:19" x14ac:dyDescent="0.25">
      <c r="A75" s="160"/>
      <c r="B75" s="160"/>
      <c r="C75" s="160"/>
      <c r="D75" s="160"/>
      <c r="E75" s="170"/>
      <c r="F75" s="160"/>
      <c r="G75" s="160"/>
      <c r="H75" s="160"/>
      <c r="I75" s="160"/>
      <c r="J75" s="160"/>
      <c r="K75" s="160"/>
      <c r="L75" s="160"/>
      <c r="M75" s="160"/>
      <c r="N75" s="160"/>
      <c r="O75" s="160"/>
      <c r="P75" s="170"/>
      <c r="Q75" s="160"/>
      <c r="R75" s="160"/>
    </row>
    <row r="76" spans="1:19" x14ac:dyDescent="0.25">
      <c r="A76" s="160"/>
      <c r="B76" s="160"/>
      <c r="C76" s="160"/>
      <c r="D76" s="160"/>
      <c r="E76" s="170"/>
      <c r="F76" s="160"/>
      <c r="G76" s="160"/>
      <c r="H76" s="160"/>
      <c r="I76" s="160"/>
      <c r="J76" s="160"/>
      <c r="K76" s="160"/>
      <c r="L76" s="160"/>
      <c r="M76" s="160"/>
      <c r="N76" s="160"/>
      <c r="O76" s="160"/>
      <c r="P76" s="170"/>
      <c r="Q76" s="160"/>
      <c r="R76" s="160"/>
    </row>
    <row r="77" spans="1:19" x14ac:dyDescent="0.25">
      <c r="A77" s="160"/>
      <c r="B77" s="160"/>
      <c r="C77" s="160"/>
      <c r="D77" s="160"/>
      <c r="E77" s="170"/>
      <c r="F77" s="160"/>
      <c r="G77" s="160"/>
      <c r="H77" s="160"/>
      <c r="I77" s="160"/>
      <c r="J77" s="160"/>
      <c r="K77" s="160"/>
      <c r="L77" s="160"/>
      <c r="M77" s="160"/>
      <c r="N77" s="160"/>
      <c r="O77" s="160"/>
      <c r="P77" s="170"/>
      <c r="Q77" s="160"/>
      <c r="R77" s="160"/>
    </row>
    <row r="78" spans="1:19" x14ac:dyDescent="0.25">
      <c r="E78" s="170" t="str">
        <f>'Peralatan Mesin'!B125</f>
        <v>GUNTUR HERU SUPRAPTO, S.Pd</v>
      </c>
      <c r="P78" s="170" t="str">
        <f>'Peralatan Mesin'!P125</f>
        <v>PRATOMO RUDY ATMOKO</v>
      </c>
    </row>
    <row r="79" spans="1:19" x14ac:dyDescent="0.25">
      <c r="E79" s="170"/>
    </row>
  </sheetData>
  <mergeCells count="37">
    <mergeCell ref="A68:C68"/>
    <mergeCell ref="A39:R39"/>
    <mergeCell ref="A46:C46"/>
    <mergeCell ref="A61:C61"/>
    <mergeCell ref="B32:C32"/>
    <mergeCell ref="A28:R28"/>
    <mergeCell ref="B31:C31"/>
    <mergeCell ref="A62:R62"/>
    <mergeCell ref="B63:C63"/>
    <mergeCell ref="A2:S2"/>
    <mergeCell ref="A3:S3"/>
    <mergeCell ref="A9:A10"/>
    <mergeCell ref="B9:C10"/>
    <mergeCell ref="D9:E9"/>
    <mergeCell ref="F9:G9"/>
    <mergeCell ref="H9:H10"/>
    <mergeCell ref="I9:I10"/>
    <mergeCell ref="J9:K9"/>
    <mergeCell ref="L9:L10"/>
    <mergeCell ref="M9:M10"/>
    <mergeCell ref="N9:N10"/>
    <mergeCell ref="Q9:Q10"/>
    <mergeCell ref="R9:R10"/>
    <mergeCell ref="S9:S11"/>
    <mergeCell ref="A55:R55"/>
    <mergeCell ref="B56:C56"/>
    <mergeCell ref="A48:R48"/>
    <mergeCell ref="B49:C49"/>
    <mergeCell ref="A54:C54"/>
    <mergeCell ref="O9:O10"/>
    <mergeCell ref="P9:P10"/>
    <mergeCell ref="B21:C21"/>
    <mergeCell ref="A47:S47"/>
    <mergeCell ref="A34:R34"/>
    <mergeCell ref="A23:R23"/>
    <mergeCell ref="B26:C26"/>
    <mergeCell ref="B11:C11"/>
  </mergeCells>
  <printOptions horizontalCentered="1"/>
  <pageMargins left="0.39370078740157483" right="0.39370078740157483" top="0.98425196850393704" bottom="0.39370078740157483" header="0.31496062992125984" footer="0.31496062992125984"/>
  <pageSetup paperSize="192" scale="81" orientation="landscape" r:id="rId1"/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211"/>
  <sheetViews>
    <sheetView tabSelected="1" view="pageBreakPreview" topLeftCell="A7" zoomScale="87" zoomScaleNormal="100" zoomScaleSheetLayoutView="87" workbookViewId="0">
      <pane ySplit="4" topLeftCell="A179" activePane="bottomLeft" state="frozen"/>
      <selection activeCell="A7" sqref="A7"/>
      <selection pane="bottomLeft" activeCell="M203" sqref="M203"/>
    </sheetView>
  </sheetViews>
  <sheetFormatPr defaultRowHeight="15" x14ac:dyDescent="0.25"/>
  <cols>
    <col min="1" max="1" width="9.28515625" style="73" bestFit="1" customWidth="1"/>
    <col min="2" max="5" width="9.140625" style="73"/>
    <col min="6" max="6" width="11" style="73" customWidth="1"/>
    <col min="7" max="9" width="9.28515625" style="206" bestFit="1" customWidth="1"/>
    <col min="10" max="10" width="9.28515625" style="260" bestFit="1" customWidth="1"/>
    <col min="11" max="11" width="9.140625" style="73"/>
    <col min="12" max="12" width="9.28515625" style="73" bestFit="1" customWidth="1"/>
    <col min="13" max="15" width="9.140625" style="73"/>
    <col min="16" max="16" width="14.140625" style="256" customWidth="1"/>
    <col min="17" max="17" width="18.42578125" style="206" customWidth="1"/>
    <col min="18" max="18" width="9.28515625" style="256" bestFit="1" customWidth="1"/>
    <col min="19" max="19" width="9.140625" style="73"/>
    <col min="20" max="20" width="22.28515625" style="73" customWidth="1"/>
    <col min="21" max="21" width="16.7109375" style="88" customWidth="1"/>
    <col min="22" max="23" width="16.28515625" style="88" bestFit="1" customWidth="1"/>
    <col min="24" max="24" width="11" style="88" bestFit="1" customWidth="1"/>
    <col min="25" max="25" width="9.28515625" style="88" bestFit="1" customWidth="1"/>
    <col min="26" max="26" width="11.28515625" style="88" bestFit="1" customWidth="1"/>
    <col min="27" max="30" width="9.140625" style="88"/>
    <col min="31" max="16384" width="9.140625" style="73"/>
  </cols>
  <sheetData>
    <row r="2" spans="1:24" ht="15.75" customHeight="1" x14ac:dyDescent="0.25">
      <c r="A2" s="644" t="s">
        <v>300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89"/>
      <c r="V2" s="89"/>
      <c r="W2" s="89"/>
      <c r="X2" s="89"/>
    </row>
    <row r="3" spans="1:24" ht="15.75" x14ac:dyDescent="0.25">
      <c r="A3" s="645" t="s">
        <v>198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  <c r="T3" s="645"/>
      <c r="U3" s="89"/>
      <c r="V3" s="89"/>
      <c r="W3" s="89"/>
      <c r="X3" s="89"/>
    </row>
    <row r="4" spans="1:24" ht="15.75" x14ac:dyDescent="0.25">
      <c r="A4" s="75"/>
      <c r="B4" s="75" t="s">
        <v>105</v>
      </c>
      <c r="C4" s="75"/>
      <c r="D4" s="75"/>
      <c r="E4" s="75" t="str">
        <f>'Aset Tetap Lainnya'!D4</f>
        <v>: Jawa Tengah</v>
      </c>
      <c r="F4" s="75"/>
      <c r="G4" s="233"/>
      <c r="H4" s="233"/>
      <c r="I4" s="233"/>
      <c r="J4" s="257"/>
      <c r="K4" s="75"/>
      <c r="L4" s="75"/>
      <c r="M4" s="75"/>
      <c r="N4" s="75"/>
      <c r="O4" s="75"/>
      <c r="P4" s="252"/>
      <c r="Q4" s="233"/>
      <c r="R4" s="252"/>
      <c r="S4" s="75"/>
      <c r="T4" s="74"/>
      <c r="U4" s="89"/>
      <c r="V4" s="89"/>
      <c r="W4" s="89"/>
      <c r="X4" s="89"/>
    </row>
    <row r="5" spans="1:24" ht="15.75" x14ac:dyDescent="0.25">
      <c r="A5" s="75"/>
      <c r="B5" s="75" t="s">
        <v>107</v>
      </c>
      <c r="C5" s="75"/>
      <c r="D5" s="75"/>
      <c r="E5" s="75" t="str">
        <f>'Aset Tetap Lainnya'!D5</f>
        <v>: Boyolali</v>
      </c>
      <c r="F5" s="75"/>
      <c r="G5" s="233"/>
      <c r="H5" s="233"/>
      <c r="I5" s="233"/>
      <c r="J5" s="257"/>
      <c r="K5" s="75"/>
      <c r="L5" s="75"/>
      <c r="M5" s="75"/>
      <c r="N5" s="75"/>
      <c r="O5" s="75"/>
      <c r="P5" s="252"/>
      <c r="Q5" s="233"/>
      <c r="R5" s="252"/>
      <c r="S5" s="75"/>
      <c r="T5" s="74"/>
      <c r="U5" s="89"/>
      <c r="V5" s="89"/>
      <c r="W5" s="89"/>
      <c r="X5" s="89"/>
    </row>
    <row r="6" spans="1:24" ht="15.75" x14ac:dyDescent="0.25">
      <c r="A6" s="75"/>
      <c r="B6" s="75" t="s">
        <v>108</v>
      </c>
      <c r="C6" s="75"/>
      <c r="D6" s="75"/>
      <c r="E6" s="75" t="str">
        <f>'Aset Tetap Lainnya'!D6</f>
        <v>: Klego</v>
      </c>
      <c r="F6" s="75"/>
      <c r="G6" s="233"/>
      <c r="H6" s="233"/>
      <c r="I6" s="233"/>
      <c r="J6" s="257"/>
      <c r="K6" s="75"/>
      <c r="L6" s="75"/>
      <c r="M6" s="75"/>
      <c r="N6" s="75"/>
      <c r="O6" s="75"/>
      <c r="P6" s="252"/>
      <c r="Q6" s="233"/>
      <c r="R6" s="252"/>
      <c r="S6" s="75"/>
      <c r="T6" s="74"/>
      <c r="U6" s="89"/>
      <c r="V6" s="89"/>
      <c r="W6" s="89"/>
      <c r="X6" s="89"/>
    </row>
    <row r="7" spans="1:24" ht="15.75" x14ac:dyDescent="0.25">
      <c r="A7" s="75"/>
      <c r="B7" s="75" t="s">
        <v>109</v>
      </c>
      <c r="C7" s="75"/>
      <c r="D7" s="75"/>
      <c r="E7" s="75" t="str">
        <f>'Aset Tetap Lainnya'!D7</f>
        <v>: Klego</v>
      </c>
      <c r="F7" s="75"/>
      <c r="G7" s="233"/>
      <c r="H7" s="233"/>
      <c r="I7" s="233"/>
      <c r="J7" s="257"/>
      <c r="K7" s="75"/>
      <c r="L7" s="75"/>
      <c r="M7" s="75"/>
      <c r="N7" s="75"/>
      <c r="O7" s="75"/>
      <c r="P7" s="252"/>
      <c r="Q7" s="233"/>
      <c r="R7" s="252"/>
      <c r="S7" s="75"/>
      <c r="T7" s="74"/>
      <c r="U7" s="89"/>
      <c r="V7" s="89"/>
      <c r="W7" s="89"/>
      <c r="X7" s="89"/>
    </row>
    <row r="9" spans="1:24" x14ac:dyDescent="0.25">
      <c r="A9" s="654" t="s">
        <v>110</v>
      </c>
      <c r="B9" s="658" t="s">
        <v>201</v>
      </c>
      <c r="C9" s="659"/>
      <c r="D9" s="654" t="s">
        <v>112</v>
      </c>
      <c r="E9" s="654"/>
      <c r="F9" s="654" t="s">
        <v>271</v>
      </c>
      <c r="G9" s="657" t="s">
        <v>580</v>
      </c>
      <c r="H9" s="657" t="s">
        <v>272</v>
      </c>
      <c r="I9" s="662" t="s">
        <v>273</v>
      </c>
      <c r="J9" s="657" t="s">
        <v>579</v>
      </c>
      <c r="K9" s="657" t="s">
        <v>274</v>
      </c>
      <c r="L9" s="654" t="s">
        <v>275</v>
      </c>
      <c r="M9" s="654"/>
      <c r="N9" s="655" t="s">
        <v>276</v>
      </c>
      <c r="O9" s="657" t="s">
        <v>277</v>
      </c>
      <c r="P9" s="657" t="s">
        <v>207</v>
      </c>
      <c r="Q9" s="655" t="s">
        <v>119</v>
      </c>
      <c r="R9" s="655" t="s">
        <v>278</v>
      </c>
      <c r="S9" s="655" t="s">
        <v>120</v>
      </c>
      <c r="T9" s="567" t="s">
        <v>269</v>
      </c>
      <c r="U9" s="89"/>
      <c r="V9" s="89"/>
      <c r="W9" s="89"/>
      <c r="X9" s="89"/>
    </row>
    <row r="10" spans="1:24" ht="25.5" x14ac:dyDescent="0.25">
      <c r="A10" s="654"/>
      <c r="B10" s="660"/>
      <c r="C10" s="661"/>
      <c r="D10" s="76" t="s">
        <v>121</v>
      </c>
      <c r="E10" s="77" t="s">
        <v>122</v>
      </c>
      <c r="F10" s="654"/>
      <c r="G10" s="654"/>
      <c r="H10" s="654"/>
      <c r="I10" s="663"/>
      <c r="J10" s="654"/>
      <c r="K10" s="654"/>
      <c r="L10" s="77" t="s">
        <v>125</v>
      </c>
      <c r="M10" s="77" t="s">
        <v>126</v>
      </c>
      <c r="N10" s="656"/>
      <c r="O10" s="654"/>
      <c r="P10" s="654"/>
      <c r="Q10" s="656"/>
      <c r="R10" s="656"/>
      <c r="S10" s="656"/>
      <c r="T10" s="568"/>
      <c r="U10" s="89"/>
      <c r="V10" s="89"/>
      <c r="W10" s="90"/>
      <c r="X10" s="89"/>
    </row>
    <row r="11" spans="1:24" x14ac:dyDescent="0.25">
      <c r="A11" s="78" t="s">
        <v>213</v>
      </c>
      <c r="B11" s="651" t="s">
        <v>214</v>
      </c>
      <c r="C11" s="651"/>
      <c r="D11" s="78" t="s">
        <v>279</v>
      </c>
      <c r="E11" s="78" t="s">
        <v>280</v>
      </c>
      <c r="F11" s="78" t="s">
        <v>215</v>
      </c>
      <c r="G11" s="251" t="s">
        <v>216</v>
      </c>
      <c r="H11" s="251" t="s">
        <v>217</v>
      </c>
      <c r="I11" s="251"/>
      <c r="J11" s="79" t="s">
        <v>218</v>
      </c>
      <c r="K11" s="78" t="s">
        <v>281</v>
      </c>
      <c r="L11" s="78" t="s">
        <v>219</v>
      </c>
      <c r="M11" s="78" t="s">
        <v>220</v>
      </c>
      <c r="N11" s="78" t="s">
        <v>221</v>
      </c>
      <c r="O11" s="78" t="s">
        <v>222</v>
      </c>
      <c r="P11" s="79" t="s">
        <v>223</v>
      </c>
      <c r="Q11" s="263" t="s">
        <v>224</v>
      </c>
      <c r="R11" s="79" t="s">
        <v>282</v>
      </c>
      <c r="S11" s="78" t="s">
        <v>283</v>
      </c>
      <c r="T11" s="569"/>
      <c r="U11" s="90"/>
      <c r="V11" s="90"/>
      <c r="W11" s="90"/>
      <c r="X11" s="89"/>
    </row>
    <row r="12" spans="1:24" x14ac:dyDescent="0.25">
      <c r="A12" s="79">
        <v>1</v>
      </c>
      <c r="B12" s="652" t="s">
        <v>582</v>
      </c>
      <c r="C12" s="653"/>
      <c r="D12" s="79"/>
      <c r="E12" s="79"/>
      <c r="F12" s="528" t="s">
        <v>476</v>
      </c>
      <c r="G12" s="79">
        <v>10.5</v>
      </c>
      <c r="H12" s="79">
        <v>2.8</v>
      </c>
      <c r="I12" s="79">
        <v>0.4</v>
      </c>
      <c r="J12" s="79">
        <f>G12*H12*I12</f>
        <v>11.76</v>
      </c>
      <c r="K12" s="79" t="s">
        <v>369</v>
      </c>
      <c r="L12" s="79">
        <v>1999</v>
      </c>
      <c r="M12" s="79"/>
      <c r="N12" s="79" t="s">
        <v>577</v>
      </c>
      <c r="O12" s="79"/>
      <c r="P12" s="79" t="s">
        <v>577</v>
      </c>
      <c r="Q12" s="242">
        <v>85000000</v>
      </c>
      <c r="R12" s="79" t="s">
        <v>349</v>
      </c>
      <c r="S12" s="263"/>
      <c r="T12" s="267" t="s">
        <v>39</v>
      </c>
      <c r="U12" s="101"/>
      <c r="V12" s="101"/>
      <c r="W12" s="101"/>
      <c r="X12" s="89"/>
    </row>
    <row r="13" spans="1:24" ht="29.25" customHeight="1" x14ac:dyDescent="0.25">
      <c r="A13" s="79">
        <v>2</v>
      </c>
      <c r="B13" s="649" t="s">
        <v>483</v>
      </c>
      <c r="C13" s="650"/>
      <c r="D13" s="79"/>
      <c r="E13" s="79"/>
      <c r="F13" s="528" t="s">
        <v>476</v>
      </c>
      <c r="G13" s="79">
        <v>108</v>
      </c>
      <c r="H13" s="79">
        <v>3</v>
      </c>
      <c r="I13" s="79">
        <v>0.1</v>
      </c>
      <c r="J13" s="79">
        <f t="shared" ref="J13:J26" si="0">G13*H13*I13</f>
        <v>32.4</v>
      </c>
      <c r="K13" s="79" t="s">
        <v>290</v>
      </c>
      <c r="L13" s="79">
        <v>2013</v>
      </c>
      <c r="M13" s="79"/>
      <c r="N13" s="79" t="s">
        <v>577</v>
      </c>
      <c r="O13" s="79"/>
      <c r="P13" s="266" t="s">
        <v>577</v>
      </c>
      <c r="Q13" s="242">
        <v>7000000</v>
      </c>
      <c r="R13" s="79" t="s">
        <v>349</v>
      </c>
      <c r="S13" s="263"/>
      <c r="T13" s="267" t="s">
        <v>38</v>
      </c>
      <c r="U13" s="101"/>
      <c r="V13" s="101"/>
      <c r="W13" s="101"/>
      <c r="X13" s="89"/>
    </row>
    <row r="14" spans="1:24" ht="30" customHeight="1" x14ac:dyDescent="0.25">
      <c r="A14" s="79">
        <v>3</v>
      </c>
      <c r="B14" s="649" t="s">
        <v>483</v>
      </c>
      <c r="C14" s="650"/>
      <c r="D14" s="79"/>
      <c r="E14" s="79"/>
      <c r="F14" s="528" t="s">
        <v>476</v>
      </c>
      <c r="G14" s="79">
        <v>381</v>
      </c>
      <c r="H14" s="79">
        <v>3</v>
      </c>
      <c r="I14" s="79">
        <v>0.1</v>
      </c>
      <c r="J14" s="79">
        <f t="shared" si="0"/>
        <v>114.30000000000001</v>
      </c>
      <c r="K14" s="79" t="s">
        <v>289</v>
      </c>
      <c r="L14" s="79">
        <v>2008</v>
      </c>
      <c r="M14" s="79"/>
      <c r="N14" s="79" t="s">
        <v>577</v>
      </c>
      <c r="O14" s="79"/>
      <c r="P14" s="266" t="s">
        <v>577</v>
      </c>
      <c r="Q14" s="242">
        <v>25000000</v>
      </c>
      <c r="R14" s="79" t="s">
        <v>349</v>
      </c>
      <c r="S14" s="263"/>
      <c r="T14" s="267" t="s">
        <v>38</v>
      </c>
      <c r="U14" s="101"/>
      <c r="V14" s="101"/>
      <c r="W14" s="101"/>
      <c r="X14" s="89"/>
    </row>
    <row r="15" spans="1:24" ht="27.75" customHeight="1" x14ac:dyDescent="0.25">
      <c r="A15" s="79">
        <v>4</v>
      </c>
      <c r="B15" s="649" t="s">
        <v>483</v>
      </c>
      <c r="C15" s="650"/>
      <c r="D15" s="79"/>
      <c r="E15" s="79"/>
      <c r="F15" s="528" t="s">
        <v>476</v>
      </c>
      <c r="G15" s="79">
        <v>388</v>
      </c>
      <c r="H15" s="79">
        <v>3</v>
      </c>
      <c r="I15" s="79">
        <v>0.1</v>
      </c>
      <c r="J15" s="79">
        <f t="shared" si="0"/>
        <v>116.4</v>
      </c>
      <c r="K15" s="79" t="s">
        <v>583</v>
      </c>
      <c r="L15" s="79">
        <v>2012</v>
      </c>
      <c r="M15" s="79"/>
      <c r="N15" s="79" t="s">
        <v>577</v>
      </c>
      <c r="O15" s="79"/>
      <c r="P15" s="266" t="s">
        <v>577</v>
      </c>
      <c r="Q15" s="242">
        <v>30000000</v>
      </c>
      <c r="R15" s="79" t="s">
        <v>349</v>
      </c>
      <c r="S15" s="263"/>
      <c r="T15" s="267" t="s">
        <v>38</v>
      </c>
      <c r="U15" s="101"/>
      <c r="V15" s="101"/>
      <c r="W15" s="101"/>
      <c r="X15" s="89"/>
    </row>
    <row r="16" spans="1:24" ht="26.25" customHeight="1" x14ac:dyDescent="0.25">
      <c r="A16" s="79">
        <v>5</v>
      </c>
      <c r="B16" s="649" t="s">
        <v>483</v>
      </c>
      <c r="C16" s="650"/>
      <c r="D16" s="79"/>
      <c r="E16" s="79"/>
      <c r="F16" s="528" t="s">
        <v>476</v>
      </c>
      <c r="G16" s="79">
        <v>78</v>
      </c>
      <c r="H16" s="79">
        <v>3</v>
      </c>
      <c r="I16" s="79">
        <v>0.1</v>
      </c>
      <c r="J16" s="79">
        <f t="shared" si="0"/>
        <v>23.400000000000002</v>
      </c>
      <c r="K16" s="79" t="s">
        <v>288</v>
      </c>
      <c r="L16" s="79">
        <v>2013</v>
      </c>
      <c r="M16" s="79"/>
      <c r="N16" s="79" t="s">
        <v>577</v>
      </c>
      <c r="O16" s="79"/>
      <c r="P16" s="266" t="s">
        <v>577</v>
      </c>
      <c r="Q16" s="242">
        <v>10000000</v>
      </c>
      <c r="R16" s="79" t="s">
        <v>353</v>
      </c>
      <c r="S16" s="263"/>
      <c r="T16" s="267" t="s">
        <v>38</v>
      </c>
      <c r="U16" s="101"/>
      <c r="V16" s="101"/>
      <c r="W16" s="101"/>
      <c r="X16" s="89"/>
    </row>
    <row r="17" spans="1:24" ht="27" customHeight="1" x14ac:dyDescent="0.25">
      <c r="A17" s="79">
        <v>6</v>
      </c>
      <c r="B17" s="649" t="s">
        <v>483</v>
      </c>
      <c r="C17" s="650"/>
      <c r="D17" s="79"/>
      <c r="E17" s="79"/>
      <c r="F17" s="528" t="s">
        <v>476</v>
      </c>
      <c r="G17" s="79">
        <v>422</v>
      </c>
      <c r="H17" s="79">
        <v>3</v>
      </c>
      <c r="I17" s="79">
        <v>0.1</v>
      </c>
      <c r="J17" s="79">
        <f t="shared" si="0"/>
        <v>126.60000000000001</v>
      </c>
      <c r="K17" s="79" t="s">
        <v>508</v>
      </c>
      <c r="L17" s="79">
        <v>2009</v>
      </c>
      <c r="M17" s="79"/>
      <c r="N17" s="79" t="s">
        <v>577</v>
      </c>
      <c r="O17" s="79"/>
      <c r="P17" s="266" t="s">
        <v>577</v>
      </c>
      <c r="Q17" s="242">
        <v>25000000</v>
      </c>
      <c r="R17" s="79" t="s">
        <v>353</v>
      </c>
      <c r="S17" s="263"/>
      <c r="T17" s="267" t="s">
        <v>38</v>
      </c>
      <c r="U17" s="101"/>
      <c r="V17" s="101"/>
      <c r="W17" s="101"/>
      <c r="X17" s="89"/>
    </row>
    <row r="18" spans="1:24" ht="27" customHeight="1" x14ac:dyDescent="0.25">
      <c r="A18" s="79">
        <v>7</v>
      </c>
      <c r="B18" s="649" t="s">
        <v>483</v>
      </c>
      <c r="C18" s="650"/>
      <c r="D18" s="79"/>
      <c r="E18" s="79"/>
      <c r="F18" s="528" t="s">
        <v>476</v>
      </c>
      <c r="G18" s="79">
        <v>128</v>
      </c>
      <c r="H18" s="79">
        <v>3</v>
      </c>
      <c r="I18" s="79">
        <v>0.1</v>
      </c>
      <c r="J18" s="79">
        <f t="shared" si="0"/>
        <v>38.400000000000006</v>
      </c>
      <c r="K18" s="79" t="s">
        <v>508</v>
      </c>
      <c r="L18" s="79">
        <v>2012</v>
      </c>
      <c r="M18" s="79"/>
      <c r="N18" s="79" t="s">
        <v>577</v>
      </c>
      <c r="O18" s="79"/>
      <c r="P18" s="266" t="s">
        <v>577</v>
      </c>
      <c r="Q18" s="242">
        <v>12500000</v>
      </c>
      <c r="R18" s="79" t="s">
        <v>353</v>
      </c>
      <c r="S18" s="263"/>
      <c r="T18" s="267" t="s">
        <v>38</v>
      </c>
      <c r="U18" s="101"/>
      <c r="V18" s="101"/>
      <c r="W18" s="101"/>
      <c r="X18" s="89"/>
    </row>
    <row r="19" spans="1:24" ht="27" customHeight="1" x14ac:dyDescent="0.25">
      <c r="A19" s="79">
        <v>8</v>
      </c>
      <c r="B19" s="649" t="s">
        <v>483</v>
      </c>
      <c r="C19" s="650"/>
      <c r="D19" s="79"/>
      <c r="E19" s="79"/>
      <c r="F19" s="528" t="s">
        <v>476</v>
      </c>
      <c r="G19" s="79">
        <v>164</v>
      </c>
      <c r="H19" s="79">
        <v>3</v>
      </c>
      <c r="I19" s="79">
        <v>0.1</v>
      </c>
      <c r="J19" s="79">
        <f t="shared" si="0"/>
        <v>49.2</v>
      </c>
      <c r="K19" s="79" t="s">
        <v>508</v>
      </c>
      <c r="L19" s="79">
        <v>2013</v>
      </c>
      <c r="M19" s="79"/>
      <c r="N19" s="79" t="s">
        <v>577</v>
      </c>
      <c r="O19" s="79"/>
      <c r="P19" s="266" t="s">
        <v>586</v>
      </c>
      <c r="Q19" s="242">
        <v>20000000</v>
      </c>
      <c r="R19" s="79" t="s">
        <v>349</v>
      </c>
      <c r="S19" s="263"/>
      <c r="T19" s="267" t="s">
        <v>38</v>
      </c>
      <c r="U19" s="101"/>
      <c r="V19" s="101"/>
      <c r="W19" s="101"/>
      <c r="X19" s="89"/>
    </row>
    <row r="20" spans="1:24" ht="27" customHeight="1" x14ac:dyDescent="0.25">
      <c r="A20" s="79">
        <v>9</v>
      </c>
      <c r="B20" s="649" t="s">
        <v>483</v>
      </c>
      <c r="C20" s="650"/>
      <c r="D20" s="79"/>
      <c r="E20" s="79"/>
      <c r="F20" s="528" t="s">
        <v>476</v>
      </c>
      <c r="G20" s="79">
        <v>36</v>
      </c>
      <c r="H20" s="79">
        <v>2</v>
      </c>
      <c r="I20" s="79">
        <v>0.1</v>
      </c>
      <c r="J20" s="79">
        <f t="shared" si="0"/>
        <v>7.2</v>
      </c>
      <c r="K20" s="79" t="s">
        <v>286</v>
      </c>
      <c r="L20" s="79">
        <v>2010</v>
      </c>
      <c r="M20" s="79"/>
      <c r="N20" s="79" t="s">
        <v>577</v>
      </c>
      <c r="O20" s="79"/>
      <c r="P20" s="266" t="s">
        <v>577</v>
      </c>
      <c r="Q20" s="242">
        <v>7000000</v>
      </c>
      <c r="R20" s="79" t="s">
        <v>349</v>
      </c>
      <c r="S20" s="263"/>
      <c r="T20" s="267" t="s">
        <v>38</v>
      </c>
      <c r="U20" s="101"/>
      <c r="V20" s="101"/>
      <c r="W20" s="101"/>
      <c r="X20" s="89"/>
    </row>
    <row r="21" spans="1:24" ht="27" customHeight="1" x14ac:dyDescent="0.25">
      <c r="A21" s="79">
        <v>10</v>
      </c>
      <c r="B21" s="649" t="s">
        <v>480</v>
      </c>
      <c r="C21" s="650"/>
      <c r="D21" s="79"/>
      <c r="E21" s="79"/>
      <c r="F21" s="528" t="s">
        <v>476</v>
      </c>
      <c r="G21" s="79">
        <v>176</v>
      </c>
      <c r="H21" s="79">
        <v>2</v>
      </c>
      <c r="I21" s="79">
        <v>0.1</v>
      </c>
      <c r="J21" s="79">
        <f t="shared" si="0"/>
        <v>35.200000000000003</v>
      </c>
      <c r="K21" s="79" t="s">
        <v>478</v>
      </c>
      <c r="L21" s="79">
        <v>2010</v>
      </c>
      <c r="M21" s="79"/>
      <c r="N21" s="79" t="s">
        <v>577</v>
      </c>
      <c r="O21" s="79"/>
      <c r="P21" s="266" t="s">
        <v>577</v>
      </c>
      <c r="Q21" s="242">
        <v>17000000</v>
      </c>
      <c r="R21" s="79" t="s">
        <v>353</v>
      </c>
      <c r="S21" s="263"/>
      <c r="T21" s="267" t="s">
        <v>38</v>
      </c>
      <c r="U21" s="101"/>
      <c r="V21" s="101"/>
      <c r="W21" s="101"/>
      <c r="X21" s="89"/>
    </row>
    <row r="22" spans="1:24" ht="27" customHeight="1" x14ac:dyDescent="0.25">
      <c r="A22" s="79">
        <v>11</v>
      </c>
      <c r="B22" s="649" t="s">
        <v>480</v>
      </c>
      <c r="C22" s="650"/>
      <c r="D22" s="79"/>
      <c r="E22" s="79"/>
      <c r="F22" s="528" t="s">
        <v>476</v>
      </c>
      <c r="G22" s="79">
        <v>60</v>
      </c>
      <c r="H22" s="79">
        <v>2.5</v>
      </c>
      <c r="I22" s="79">
        <v>0.1</v>
      </c>
      <c r="J22" s="79">
        <f t="shared" si="0"/>
        <v>15</v>
      </c>
      <c r="K22" s="79" t="s">
        <v>478</v>
      </c>
      <c r="L22" s="79">
        <v>2005</v>
      </c>
      <c r="M22" s="79"/>
      <c r="N22" s="79" t="s">
        <v>577</v>
      </c>
      <c r="O22" s="79"/>
      <c r="P22" s="266" t="s">
        <v>577</v>
      </c>
      <c r="Q22" s="242">
        <v>3000000</v>
      </c>
      <c r="R22" s="79" t="s">
        <v>352</v>
      </c>
      <c r="S22" s="263"/>
      <c r="T22" s="267" t="s">
        <v>38</v>
      </c>
      <c r="U22" s="101"/>
      <c r="V22" s="101"/>
      <c r="W22" s="101"/>
      <c r="X22" s="89"/>
    </row>
    <row r="23" spans="1:24" ht="27" customHeight="1" x14ac:dyDescent="0.25">
      <c r="A23" s="79">
        <v>12</v>
      </c>
      <c r="B23" s="649" t="s">
        <v>480</v>
      </c>
      <c r="C23" s="650"/>
      <c r="D23" s="79"/>
      <c r="E23" s="79"/>
      <c r="F23" s="528" t="s">
        <v>476</v>
      </c>
      <c r="G23" s="79">
        <v>271</v>
      </c>
      <c r="H23" s="79">
        <v>2.5</v>
      </c>
      <c r="I23" s="79">
        <v>0.1</v>
      </c>
      <c r="J23" s="79">
        <f t="shared" si="0"/>
        <v>67.75</v>
      </c>
      <c r="K23" s="79" t="s">
        <v>293</v>
      </c>
      <c r="L23" s="79">
        <v>2010</v>
      </c>
      <c r="M23" s="79"/>
      <c r="N23" s="79" t="s">
        <v>577</v>
      </c>
      <c r="O23" s="79"/>
      <c r="P23" s="266" t="s">
        <v>577</v>
      </c>
      <c r="Q23" s="242">
        <v>21000000</v>
      </c>
      <c r="R23" s="79" t="s">
        <v>352</v>
      </c>
      <c r="S23" s="263"/>
      <c r="T23" s="268" t="s">
        <v>38</v>
      </c>
      <c r="U23" s="101"/>
      <c r="V23" s="101"/>
      <c r="W23" s="101"/>
      <c r="X23" s="89"/>
    </row>
    <row r="24" spans="1:24" ht="28.5" customHeight="1" x14ac:dyDescent="0.25">
      <c r="A24" s="79">
        <v>13</v>
      </c>
      <c r="B24" s="649" t="s">
        <v>480</v>
      </c>
      <c r="C24" s="650"/>
      <c r="D24" s="79"/>
      <c r="E24" s="79"/>
      <c r="F24" s="528" t="s">
        <v>476</v>
      </c>
      <c r="G24" s="79">
        <v>142</v>
      </c>
      <c r="H24" s="79">
        <v>2</v>
      </c>
      <c r="I24" s="79">
        <v>0.1</v>
      </c>
      <c r="J24" s="79">
        <f t="shared" si="0"/>
        <v>28.400000000000002</v>
      </c>
      <c r="K24" s="79" t="s">
        <v>293</v>
      </c>
      <c r="L24" s="79">
        <v>2014</v>
      </c>
      <c r="M24" s="79"/>
      <c r="N24" s="79" t="s">
        <v>577</v>
      </c>
      <c r="O24" s="79"/>
      <c r="P24" s="266" t="s">
        <v>577</v>
      </c>
      <c r="Q24" s="242">
        <v>12000000</v>
      </c>
      <c r="R24" s="79" t="s">
        <v>353</v>
      </c>
      <c r="S24" s="263"/>
      <c r="T24" s="267" t="s">
        <v>38</v>
      </c>
      <c r="U24" s="101"/>
      <c r="V24" s="101"/>
      <c r="W24" s="101"/>
      <c r="X24" s="89"/>
    </row>
    <row r="25" spans="1:24" ht="27" customHeight="1" x14ac:dyDescent="0.25">
      <c r="A25" s="79">
        <v>14</v>
      </c>
      <c r="B25" s="649" t="s">
        <v>480</v>
      </c>
      <c r="C25" s="650"/>
      <c r="D25" s="79"/>
      <c r="E25" s="79"/>
      <c r="F25" s="528" t="s">
        <v>476</v>
      </c>
      <c r="G25" s="79">
        <v>225</v>
      </c>
      <c r="H25" s="79">
        <v>2</v>
      </c>
      <c r="I25" s="79">
        <v>0.1</v>
      </c>
      <c r="J25" s="79">
        <f t="shared" si="0"/>
        <v>45</v>
      </c>
      <c r="K25" s="79" t="s">
        <v>482</v>
      </c>
      <c r="L25" s="79">
        <v>2017</v>
      </c>
      <c r="M25" s="79"/>
      <c r="N25" s="79" t="s">
        <v>577</v>
      </c>
      <c r="O25" s="79"/>
      <c r="P25" s="266" t="s">
        <v>585</v>
      </c>
      <c r="Q25" s="242">
        <v>38250000</v>
      </c>
      <c r="R25" s="79" t="s">
        <v>353</v>
      </c>
      <c r="S25" s="263"/>
      <c r="T25" s="267" t="s">
        <v>38</v>
      </c>
      <c r="U25" s="101"/>
      <c r="V25" s="101"/>
      <c r="W25" s="101"/>
      <c r="X25" s="89"/>
    </row>
    <row r="26" spans="1:24" ht="27" customHeight="1" x14ac:dyDescent="0.25">
      <c r="A26" s="79">
        <v>15</v>
      </c>
      <c r="B26" s="649" t="s">
        <v>496</v>
      </c>
      <c r="C26" s="650"/>
      <c r="D26" s="79"/>
      <c r="E26" s="79"/>
      <c r="F26" s="528" t="s">
        <v>476</v>
      </c>
      <c r="G26" s="79">
        <v>249</v>
      </c>
      <c r="H26" s="79">
        <v>1.6</v>
      </c>
      <c r="I26" s="79">
        <v>0.1</v>
      </c>
      <c r="J26" s="79">
        <f t="shared" si="0"/>
        <v>39.840000000000003</v>
      </c>
      <c r="K26" s="79" t="s">
        <v>297</v>
      </c>
      <c r="L26" s="79">
        <v>2014</v>
      </c>
      <c r="M26" s="79"/>
      <c r="N26" s="79" t="s">
        <v>577</v>
      </c>
      <c r="O26" s="79"/>
      <c r="P26" s="266" t="s">
        <v>577</v>
      </c>
      <c r="Q26" s="242">
        <v>31872000</v>
      </c>
      <c r="R26" s="79" t="s">
        <v>349</v>
      </c>
      <c r="S26" s="263"/>
      <c r="T26" s="267" t="s">
        <v>38</v>
      </c>
      <c r="U26" s="101"/>
      <c r="V26" s="101"/>
      <c r="W26" s="101"/>
      <c r="X26" s="89"/>
    </row>
    <row r="27" spans="1:24" ht="53.25" customHeight="1" x14ac:dyDescent="0.25">
      <c r="A27" s="79">
        <v>16</v>
      </c>
      <c r="B27" s="649" t="s">
        <v>479</v>
      </c>
      <c r="C27" s="650"/>
      <c r="D27" s="78"/>
      <c r="E27" s="78"/>
      <c r="F27" s="78" t="s">
        <v>476</v>
      </c>
      <c r="G27" s="79">
        <v>675</v>
      </c>
      <c r="H27" s="79">
        <v>1.8</v>
      </c>
      <c r="I27" s="79">
        <v>0.1</v>
      </c>
      <c r="J27" s="79">
        <f>G27*H27*I27</f>
        <v>121.5</v>
      </c>
      <c r="K27" s="80" t="s">
        <v>481</v>
      </c>
      <c r="L27" s="79">
        <v>2015</v>
      </c>
      <c r="M27" s="78"/>
      <c r="N27" s="79" t="s">
        <v>577</v>
      </c>
      <c r="O27" s="78"/>
      <c r="P27" s="266" t="s">
        <v>585</v>
      </c>
      <c r="Q27" s="242">
        <v>105000000</v>
      </c>
      <c r="R27" s="79" t="s">
        <v>349</v>
      </c>
      <c r="S27" s="78"/>
      <c r="T27" s="103" t="s">
        <v>38</v>
      </c>
      <c r="U27" s="90"/>
      <c r="V27" s="89"/>
      <c r="W27" s="89"/>
      <c r="X27" s="89"/>
    </row>
    <row r="28" spans="1:24" ht="26.25" customHeight="1" x14ac:dyDescent="0.25">
      <c r="A28" s="79">
        <v>17</v>
      </c>
      <c r="B28" s="649" t="s">
        <v>477</v>
      </c>
      <c r="C28" s="650"/>
      <c r="D28" s="78"/>
      <c r="E28" s="78"/>
      <c r="F28" s="78" t="s">
        <v>476</v>
      </c>
      <c r="G28" s="79">
        <v>400</v>
      </c>
      <c r="H28" s="79">
        <v>3</v>
      </c>
      <c r="I28" s="79">
        <v>0.03</v>
      </c>
      <c r="J28" s="79">
        <f t="shared" ref="J28:J64" si="1">G28*H28*I28</f>
        <v>36</v>
      </c>
      <c r="K28" s="80" t="s">
        <v>478</v>
      </c>
      <c r="L28" s="79">
        <v>2016</v>
      </c>
      <c r="M28" s="78"/>
      <c r="N28" s="79" t="s">
        <v>577</v>
      </c>
      <c r="O28" s="78"/>
      <c r="P28" s="266" t="s">
        <v>585</v>
      </c>
      <c r="Q28" s="242">
        <v>43200000</v>
      </c>
      <c r="R28" s="79" t="s">
        <v>349</v>
      </c>
      <c r="S28" s="78"/>
      <c r="T28" s="103" t="s">
        <v>38</v>
      </c>
      <c r="U28" s="91"/>
      <c r="V28" s="90"/>
      <c r="W28" s="90"/>
      <c r="X28" s="89"/>
    </row>
    <row r="29" spans="1:24" ht="28.5" customHeight="1" x14ac:dyDescent="0.25">
      <c r="A29" s="79">
        <v>18</v>
      </c>
      <c r="B29" s="649" t="s">
        <v>477</v>
      </c>
      <c r="C29" s="650"/>
      <c r="D29" s="203"/>
      <c r="E29" s="203"/>
      <c r="F29" s="203" t="s">
        <v>476</v>
      </c>
      <c r="G29" s="79">
        <v>395</v>
      </c>
      <c r="H29" s="79">
        <v>3</v>
      </c>
      <c r="I29" s="79">
        <v>0.05</v>
      </c>
      <c r="J29" s="79">
        <f t="shared" si="1"/>
        <v>59.25</v>
      </c>
      <c r="K29" s="80" t="s">
        <v>295</v>
      </c>
      <c r="L29" s="79">
        <v>2017</v>
      </c>
      <c r="M29" s="203"/>
      <c r="N29" s="79" t="s">
        <v>577</v>
      </c>
      <c r="O29" s="203"/>
      <c r="P29" s="266" t="s">
        <v>585</v>
      </c>
      <c r="Q29" s="242">
        <v>98361868</v>
      </c>
      <c r="R29" s="79" t="s">
        <v>228</v>
      </c>
      <c r="S29" s="203"/>
      <c r="T29" s="103" t="s">
        <v>38</v>
      </c>
      <c r="U29" s="91"/>
      <c r="V29" s="101"/>
      <c r="W29" s="101"/>
      <c r="X29" s="89"/>
    </row>
    <row r="30" spans="1:24" ht="29.25" customHeight="1" x14ac:dyDescent="0.25">
      <c r="A30" s="79">
        <v>19</v>
      </c>
      <c r="B30" s="647" t="s">
        <v>480</v>
      </c>
      <c r="C30" s="648"/>
      <c r="D30" s="81"/>
      <c r="E30" s="81"/>
      <c r="F30" s="81" t="s">
        <v>476</v>
      </c>
      <c r="G30" s="79">
        <v>298</v>
      </c>
      <c r="H30" s="79">
        <v>2</v>
      </c>
      <c r="I30" s="79">
        <v>0.1</v>
      </c>
      <c r="J30" s="79">
        <f t="shared" si="1"/>
        <v>59.6</v>
      </c>
      <c r="K30" s="80" t="s">
        <v>294</v>
      </c>
      <c r="L30" s="79">
        <v>2016</v>
      </c>
      <c r="M30" s="81"/>
      <c r="N30" s="79" t="s">
        <v>577</v>
      </c>
      <c r="O30" s="81"/>
      <c r="P30" s="266" t="s">
        <v>585</v>
      </c>
      <c r="Q30" s="242">
        <v>50660000</v>
      </c>
      <c r="R30" s="79" t="s">
        <v>228</v>
      </c>
      <c r="S30" s="81"/>
      <c r="T30" s="103" t="s">
        <v>38</v>
      </c>
      <c r="U30" s="89"/>
      <c r="V30" s="89"/>
      <c r="W30" s="90"/>
      <c r="X30" s="89"/>
    </row>
    <row r="31" spans="1:24" ht="27" customHeight="1" x14ac:dyDescent="0.25">
      <c r="A31" s="79">
        <v>20</v>
      </c>
      <c r="B31" s="649" t="s">
        <v>477</v>
      </c>
      <c r="C31" s="650"/>
      <c r="D31" s="81"/>
      <c r="E31" s="81"/>
      <c r="F31" s="81" t="s">
        <v>476</v>
      </c>
      <c r="G31" s="79">
        <v>180</v>
      </c>
      <c r="H31" s="79">
        <v>3</v>
      </c>
      <c r="I31" s="79">
        <v>0.05</v>
      </c>
      <c r="J31" s="79">
        <f t="shared" si="1"/>
        <v>27</v>
      </c>
      <c r="K31" s="80" t="s">
        <v>482</v>
      </c>
      <c r="L31" s="79">
        <v>2017</v>
      </c>
      <c r="M31" s="81"/>
      <c r="N31" s="79" t="s">
        <v>577</v>
      </c>
      <c r="O31" s="81"/>
      <c r="P31" s="266" t="s">
        <v>585</v>
      </c>
      <c r="Q31" s="242">
        <v>44823130</v>
      </c>
      <c r="R31" s="79" t="s">
        <v>228</v>
      </c>
      <c r="S31" s="81"/>
      <c r="T31" s="103" t="s">
        <v>38</v>
      </c>
      <c r="U31" s="89"/>
      <c r="V31" s="89"/>
      <c r="W31" s="89"/>
    </row>
    <row r="32" spans="1:24" ht="27" customHeight="1" x14ac:dyDescent="0.25">
      <c r="A32" s="79">
        <v>21</v>
      </c>
      <c r="B32" s="649" t="s">
        <v>477</v>
      </c>
      <c r="C32" s="650"/>
      <c r="D32" s="81"/>
      <c r="E32" s="81"/>
      <c r="F32" s="81" t="s">
        <v>476</v>
      </c>
      <c r="G32" s="79">
        <v>498</v>
      </c>
      <c r="H32" s="79">
        <v>3</v>
      </c>
      <c r="I32" s="79">
        <v>0.05</v>
      </c>
      <c r="J32" s="79">
        <f t="shared" si="1"/>
        <v>74.7</v>
      </c>
      <c r="K32" s="80" t="s">
        <v>294</v>
      </c>
      <c r="L32" s="79">
        <v>2017</v>
      </c>
      <c r="M32" s="81"/>
      <c r="N32" s="79" t="s">
        <v>577</v>
      </c>
      <c r="O32" s="81"/>
      <c r="P32" s="266" t="s">
        <v>585</v>
      </c>
      <c r="Q32" s="242">
        <v>121769502</v>
      </c>
      <c r="R32" s="79" t="s">
        <v>228</v>
      </c>
      <c r="S32" s="81"/>
      <c r="T32" s="103" t="s">
        <v>38</v>
      </c>
      <c r="U32" s="89"/>
      <c r="V32" s="90"/>
      <c r="W32" s="89"/>
    </row>
    <row r="33" spans="1:23" ht="26.25" customHeight="1" x14ac:dyDescent="0.25">
      <c r="A33" s="79">
        <v>22</v>
      </c>
      <c r="B33" s="649" t="s">
        <v>483</v>
      </c>
      <c r="C33" s="650"/>
      <c r="D33" s="81"/>
      <c r="E33" s="81"/>
      <c r="F33" s="81" t="s">
        <v>476</v>
      </c>
      <c r="G33" s="79">
        <v>214</v>
      </c>
      <c r="H33" s="79">
        <v>2.5</v>
      </c>
      <c r="I33" s="79">
        <v>0.1</v>
      </c>
      <c r="J33" s="79">
        <f t="shared" si="1"/>
        <v>53.5</v>
      </c>
      <c r="K33" s="80" t="s">
        <v>286</v>
      </c>
      <c r="L33" s="79">
        <v>2018</v>
      </c>
      <c r="M33" s="81"/>
      <c r="N33" s="79" t="s">
        <v>577</v>
      </c>
      <c r="O33" s="81"/>
      <c r="P33" s="266" t="s">
        <v>585</v>
      </c>
      <c r="Q33" s="242">
        <v>72769500</v>
      </c>
      <c r="R33" s="79" t="s">
        <v>228</v>
      </c>
      <c r="S33" s="81"/>
      <c r="T33" s="103" t="s">
        <v>38</v>
      </c>
      <c r="U33" s="89"/>
      <c r="V33" s="89"/>
      <c r="W33" s="92"/>
    </row>
    <row r="34" spans="1:23" ht="26.25" customHeight="1" x14ac:dyDescent="0.25">
      <c r="A34" s="79">
        <v>23</v>
      </c>
      <c r="B34" s="647" t="s">
        <v>484</v>
      </c>
      <c r="C34" s="648"/>
      <c r="D34" s="81"/>
      <c r="E34" s="81"/>
      <c r="F34" s="81" t="s">
        <v>476</v>
      </c>
      <c r="G34" s="79">
        <v>80</v>
      </c>
      <c r="H34" s="79">
        <v>1.5</v>
      </c>
      <c r="I34" s="79">
        <v>0.1</v>
      </c>
      <c r="J34" s="79">
        <f t="shared" si="1"/>
        <v>12</v>
      </c>
      <c r="K34" s="80" t="s">
        <v>485</v>
      </c>
      <c r="L34" s="79">
        <v>2018</v>
      </c>
      <c r="M34" s="81"/>
      <c r="N34" s="79" t="s">
        <v>577</v>
      </c>
      <c r="O34" s="81"/>
      <c r="P34" s="266" t="s">
        <v>585</v>
      </c>
      <c r="Q34" s="242">
        <v>6983500</v>
      </c>
      <c r="R34" s="79" t="s">
        <v>228</v>
      </c>
      <c r="S34" s="81"/>
      <c r="T34" s="103" t="s">
        <v>38</v>
      </c>
      <c r="U34" s="89"/>
      <c r="V34" s="90"/>
      <c r="W34" s="92"/>
    </row>
    <row r="35" spans="1:23" ht="25.5" customHeight="1" x14ac:dyDescent="0.25">
      <c r="A35" s="79">
        <v>24</v>
      </c>
      <c r="B35" s="649" t="s">
        <v>483</v>
      </c>
      <c r="C35" s="650"/>
      <c r="D35" s="81"/>
      <c r="E35" s="81"/>
      <c r="F35" s="81" t="s">
        <v>476</v>
      </c>
      <c r="G35" s="79">
        <v>143</v>
      </c>
      <c r="H35" s="79">
        <v>2.5</v>
      </c>
      <c r="I35" s="79">
        <v>0.1</v>
      </c>
      <c r="J35" s="79">
        <f t="shared" si="1"/>
        <v>35.75</v>
      </c>
      <c r="K35" s="80" t="s">
        <v>508</v>
      </c>
      <c r="L35" s="79">
        <v>2018</v>
      </c>
      <c r="M35" s="81"/>
      <c r="N35" s="79" t="s">
        <v>577</v>
      </c>
      <c r="O35" s="81"/>
      <c r="P35" s="266" t="s">
        <v>586</v>
      </c>
      <c r="Q35" s="242">
        <v>30209772</v>
      </c>
      <c r="R35" s="79" t="s">
        <v>228</v>
      </c>
      <c r="S35" s="81"/>
      <c r="T35" s="103" t="s">
        <v>38</v>
      </c>
      <c r="U35" s="89"/>
      <c r="V35" s="89"/>
      <c r="W35" s="92"/>
    </row>
    <row r="36" spans="1:23" ht="25.5" customHeight="1" x14ac:dyDescent="0.25">
      <c r="A36" s="79">
        <v>25</v>
      </c>
      <c r="B36" s="649" t="s">
        <v>503</v>
      </c>
      <c r="C36" s="650"/>
      <c r="D36" s="81"/>
      <c r="E36" s="81"/>
      <c r="F36" s="81" t="s">
        <v>476</v>
      </c>
      <c r="G36" s="79">
        <v>482</v>
      </c>
      <c r="H36" s="79">
        <v>2.5</v>
      </c>
      <c r="I36" s="79">
        <v>0.03</v>
      </c>
      <c r="J36" s="79">
        <f t="shared" si="1"/>
        <v>36.15</v>
      </c>
      <c r="K36" s="80" t="s">
        <v>587</v>
      </c>
      <c r="L36" s="79">
        <v>2015</v>
      </c>
      <c r="M36" s="81"/>
      <c r="N36" s="79" t="s">
        <v>577</v>
      </c>
      <c r="O36" s="81"/>
      <c r="P36" s="266" t="s">
        <v>585</v>
      </c>
      <c r="Q36" s="242">
        <v>52056000</v>
      </c>
      <c r="R36" s="79" t="s">
        <v>353</v>
      </c>
      <c r="S36" s="81"/>
      <c r="T36" s="103" t="s">
        <v>38</v>
      </c>
      <c r="U36" s="89"/>
      <c r="V36" s="89"/>
      <c r="W36" s="92"/>
    </row>
    <row r="37" spans="1:23" ht="25.5" customHeight="1" x14ac:dyDescent="0.25">
      <c r="A37" s="79">
        <v>26</v>
      </c>
      <c r="B37" s="649" t="s">
        <v>503</v>
      </c>
      <c r="C37" s="650"/>
      <c r="D37" s="81"/>
      <c r="E37" s="81"/>
      <c r="F37" s="81" t="s">
        <v>476</v>
      </c>
      <c r="G37" s="79">
        <v>200</v>
      </c>
      <c r="H37" s="79">
        <v>2.5</v>
      </c>
      <c r="I37" s="79">
        <v>0.03</v>
      </c>
      <c r="J37" s="79">
        <f t="shared" si="1"/>
        <v>15</v>
      </c>
      <c r="K37" s="80" t="s">
        <v>291</v>
      </c>
      <c r="L37" s="79">
        <v>2006</v>
      </c>
      <c r="M37" s="81"/>
      <c r="N37" s="79" t="s">
        <v>577</v>
      </c>
      <c r="O37" s="81"/>
      <c r="P37" s="266" t="s">
        <v>577</v>
      </c>
      <c r="Q37" s="242">
        <v>16000000</v>
      </c>
      <c r="R37" s="79" t="s">
        <v>349</v>
      </c>
      <c r="S37" s="81"/>
      <c r="T37" s="103" t="s">
        <v>38</v>
      </c>
      <c r="U37" s="89"/>
      <c r="V37" s="89"/>
      <c r="W37" s="92"/>
    </row>
    <row r="38" spans="1:23" ht="25.5" customHeight="1" x14ac:dyDescent="0.25">
      <c r="A38" s="79">
        <v>27</v>
      </c>
      <c r="B38" s="649" t="s">
        <v>503</v>
      </c>
      <c r="C38" s="650"/>
      <c r="D38" s="81"/>
      <c r="E38" s="81"/>
      <c r="F38" s="81" t="s">
        <v>476</v>
      </c>
      <c r="G38" s="79">
        <v>363</v>
      </c>
      <c r="H38" s="79">
        <v>3</v>
      </c>
      <c r="I38" s="79">
        <v>0.03</v>
      </c>
      <c r="J38" s="79">
        <f t="shared" si="1"/>
        <v>32.67</v>
      </c>
      <c r="K38" s="80" t="s">
        <v>588</v>
      </c>
      <c r="L38" s="79">
        <v>2014</v>
      </c>
      <c r="M38" s="81"/>
      <c r="N38" s="79" t="s">
        <v>577</v>
      </c>
      <c r="O38" s="81"/>
      <c r="P38" s="266" t="s">
        <v>577</v>
      </c>
      <c r="Q38" s="242">
        <v>35000000</v>
      </c>
      <c r="R38" s="79" t="s">
        <v>349</v>
      </c>
      <c r="S38" s="81"/>
      <c r="T38" s="103" t="s">
        <v>38</v>
      </c>
      <c r="U38" s="89"/>
      <c r="V38" s="89"/>
      <c r="W38" s="92"/>
    </row>
    <row r="39" spans="1:23" ht="25.5" customHeight="1" x14ac:dyDescent="0.25">
      <c r="A39" s="79">
        <v>28</v>
      </c>
      <c r="B39" s="649" t="s">
        <v>503</v>
      </c>
      <c r="C39" s="650"/>
      <c r="D39" s="81"/>
      <c r="E39" s="81"/>
      <c r="F39" s="81" t="s">
        <v>476</v>
      </c>
      <c r="G39" s="79">
        <v>277</v>
      </c>
      <c r="H39" s="79">
        <v>2.2999999999999998</v>
      </c>
      <c r="I39" s="79">
        <v>0.03</v>
      </c>
      <c r="J39" s="79">
        <f t="shared" si="1"/>
        <v>19.112999999999996</v>
      </c>
      <c r="K39" s="80" t="s">
        <v>292</v>
      </c>
      <c r="L39" s="79">
        <v>2009</v>
      </c>
      <c r="M39" s="81"/>
      <c r="N39" s="79" t="s">
        <v>577</v>
      </c>
      <c r="O39" s="81"/>
      <c r="P39" s="266" t="s">
        <v>577</v>
      </c>
      <c r="Q39" s="242">
        <v>22000000</v>
      </c>
      <c r="R39" s="79" t="s">
        <v>349</v>
      </c>
      <c r="S39" s="81"/>
      <c r="T39" s="103" t="s">
        <v>38</v>
      </c>
      <c r="U39" s="89"/>
      <c r="V39" s="89"/>
      <c r="W39" s="92"/>
    </row>
    <row r="40" spans="1:23" ht="25.5" customHeight="1" x14ac:dyDescent="0.25">
      <c r="A40" s="79">
        <v>29</v>
      </c>
      <c r="B40" s="649" t="s">
        <v>595</v>
      </c>
      <c r="C40" s="650"/>
      <c r="D40" s="81"/>
      <c r="E40" s="81"/>
      <c r="F40" s="81" t="s">
        <v>476</v>
      </c>
      <c r="G40" s="79">
        <v>2</v>
      </c>
      <c r="H40" s="79">
        <v>2</v>
      </c>
      <c r="I40" s="79">
        <v>4</v>
      </c>
      <c r="J40" s="79">
        <f t="shared" si="1"/>
        <v>16</v>
      </c>
      <c r="K40" s="80" t="s">
        <v>596</v>
      </c>
      <c r="L40" s="79">
        <v>2004</v>
      </c>
      <c r="M40" s="81"/>
      <c r="N40" s="79" t="s">
        <v>577</v>
      </c>
      <c r="O40" s="81"/>
      <c r="P40" s="266" t="s">
        <v>577</v>
      </c>
      <c r="Q40" s="265">
        <v>7500000</v>
      </c>
      <c r="R40" s="79" t="s">
        <v>353</v>
      </c>
      <c r="S40" s="81"/>
      <c r="T40" s="435" t="s">
        <v>94</v>
      </c>
      <c r="U40" s="89"/>
      <c r="V40" s="101"/>
      <c r="W40" s="92"/>
    </row>
    <row r="41" spans="1:23" ht="39" customHeight="1" x14ac:dyDescent="0.25">
      <c r="A41" s="79">
        <v>30</v>
      </c>
      <c r="B41" s="649" t="s">
        <v>595</v>
      </c>
      <c r="C41" s="650"/>
      <c r="D41" s="81"/>
      <c r="E41" s="81"/>
      <c r="F41" s="81" t="s">
        <v>476</v>
      </c>
      <c r="G41" s="79">
        <v>2</v>
      </c>
      <c r="H41" s="79">
        <v>2</v>
      </c>
      <c r="I41" s="79">
        <v>2</v>
      </c>
      <c r="J41" s="79">
        <f t="shared" si="1"/>
        <v>8</v>
      </c>
      <c r="K41" s="80" t="s">
        <v>597</v>
      </c>
      <c r="L41" s="79">
        <v>2005</v>
      </c>
      <c r="M41" s="81"/>
      <c r="N41" s="79" t="s">
        <v>577</v>
      </c>
      <c r="O41" s="81"/>
      <c r="P41" s="266" t="s">
        <v>577</v>
      </c>
      <c r="Q41" s="265">
        <v>3000000</v>
      </c>
      <c r="R41" s="79" t="s">
        <v>349</v>
      </c>
      <c r="S41" s="81"/>
      <c r="T41" s="435" t="s">
        <v>94</v>
      </c>
      <c r="U41" s="89"/>
      <c r="V41" s="89"/>
      <c r="W41" s="92"/>
    </row>
    <row r="42" spans="1:23" ht="25.5" customHeight="1" x14ac:dyDescent="0.25">
      <c r="A42" s="79">
        <v>31</v>
      </c>
      <c r="B42" s="649" t="s">
        <v>595</v>
      </c>
      <c r="C42" s="650"/>
      <c r="D42" s="81"/>
      <c r="E42" s="81"/>
      <c r="F42" s="81" t="s">
        <v>476</v>
      </c>
      <c r="G42" s="79">
        <v>2</v>
      </c>
      <c r="H42" s="79">
        <v>2</v>
      </c>
      <c r="I42" s="79">
        <v>4</v>
      </c>
      <c r="J42" s="79">
        <f t="shared" si="1"/>
        <v>16</v>
      </c>
      <c r="K42" s="80" t="s">
        <v>598</v>
      </c>
      <c r="L42" s="79">
        <v>2005</v>
      </c>
      <c r="M42" s="81"/>
      <c r="N42" s="79" t="s">
        <v>577</v>
      </c>
      <c r="O42" s="81"/>
      <c r="P42" s="264" t="s">
        <v>577</v>
      </c>
      <c r="Q42" s="265">
        <v>7500000</v>
      </c>
      <c r="R42" s="79" t="s">
        <v>353</v>
      </c>
      <c r="S42" s="81"/>
      <c r="T42" s="435" t="s">
        <v>94</v>
      </c>
      <c r="U42" s="89"/>
      <c r="V42" s="89"/>
      <c r="W42" s="92"/>
    </row>
    <row r="43" spans="1:23" ht="25.5" customHeight="1" x14ac:dyDescent="0.25">
      <c r="A43" s="79">
        <v>32</v>
      </c>
      <c r="B43" s="649" t="s">
        <v>595</v>
      </c>
      <c r="C43" s="650"/>
      <c r="D43" s="81"/>
      <c r="E43" s="81"/>
      <c r="F43" s="81" t="s">
        <v>476</v>
      </c>
      <c r="G43" s="79">
        <v>2</v>
      </c>
      <c r="H43" s="79">
        <v>2</v>
      </c>
      <c r="I43" s="79">
        <v>3</v>
      </c>
      <c r="J43" s="79">
        <f t="shared" si="1"/>
        <v>12</v>
      </c>
      <c r="K43" s="80" t="s">
        <v>599</v>
      </c>
      <c r="L43" s="79">
        <v>2005</v>
      </c>
      <c r="M43" s="81"/>
      <c r="N43" s="79" t="s">
        <v>577</v>
      </c>
      <c r="O43" s="81"/>
      <c r="P43" s="264" t="s">
        <v>577</v>
      </c>
      <c r="Q43" s="265">
        <v>3000000</v>
      </c>
      <c r="R43" s="79" t="s">
        <v>353</v>
      </c>
      <c r="S43" s="81"/>
      <c r="T43" s="435" t="s">
        <v>94</v>
      </c>
      <c r="U43" s="89"/>
      <c r="V43" s="89"/>
      <c r="W43" s="92"/>
    </row>
    <row r="44" spans="1:23" ht="25.5" customHeight="1" x14ac:dyDescent="0.25">
      <c r="A44" s="79">
        <v>33</v>
      </c>
      <c r="B44" s="649" t="s">
        <v>595</v>
      </c>
      <c r="C44" s="650"/>
      <c r="D44" s="81"/>
      <c r="E44" s="81"/>
      <c r="F44" s="81" t="s">
        <v>476</v>
      </c>
      <c r="G44" s="79">
        <v>2</v>
      </c>
      <c r="H44" s="79">
        <v>2</v>
      </c>
      <c r="I44" s="79">
        <v>3</v>
      </c>
      <c r="J44" s="79">
        <f t="shared" si="1"/>
        <v>12</v>
      </c>
      <c r="K44" s="80" t="s">
        <v>600</v>
      </c>
      <c r="L44" s="79">
        <v>2006</v>
      </c>
      <c r="M44" s="81"/>
      <c r="N44" s="79" t="s">
        <v>577</v>
      </c>
      <c r="O44" s="81"/>
      <c r="P44" s="264" t="s">
        <v>577</v>
      </c>
      <c r="Q44" s="265">
        <v>3000000</v>
      </c>
      <c r="R44" s="79" t="s">
        <v>353</v>
      </c>
      <c r="S44" s="81"/>
      <c r="T44" s="435" t="s">
        <v>94</v>
      </c>
      <c r="U44" s="89"/>
      <c r="V44" s="89"/>
      <c r="W44" s="92"/>
    </row>
    <row r="45" spans="1:23" ht="25.5" customHeight="1" x14ac:dyDescent="0.25">
      <c r="A45" s="79">
        <v>34</v>
      </c>
      <c r="B45" s="649" t="s">
        <v>491</v>
      </c>
      <c r="C45" s="650"/>
      <c r="D45" s="81"/>
      <c r="E45" s="81"/>
      <c r="F45" s="81" t="s">
        <v>476</v>
      </c>
      <c r="G45" s="79">
        <v>40</v>
      </c>
      <c r="H45" s="79">
        <v>3</v>
      </c>
      <c r="I45" s="79">
        <v>0.1</v>
      </c>
      <c r="J45" s="79">
        <f>G45*H45*I45</f>
        <v>12</v>
      </c>
      <c r="K45" s="80" t="s">
        <v>589</v>
      </c>
      <c r="L45" s="79">
        <v>2016</v>
      </c>
      <c r="M45" s="81"/>
      <c r="N45" s="79" t="s">
        <v>577</v>
      </c>
      <c r="O45" s="81"/>
      <c r="P45" s="262" t="s">
        <v>577</v>
      </c>
      <c r="Q45" s="242">
        <v>5000000</v>
      </c>
      <c r="R45" s="79" t="s">
        <v>353</v>
      </c>
      <c r="S45" s="81"/>
      <c r="T45" s="103" t="s">
        <v>38</v>
      </c>
      <c r="U45" s="89"/>
      <c r="V45" s="89"/>
      <c r="W45" s="92"/>
    </row>
    <row r="46" spans="1:23" ht="25.5" customHeight="1" x14ac:dyDescent="0.25">
      <c r="A46" s="79">
        <v>35</v>
      </c>
      <c r="B46" s="649" t="s">
        <v>491</v>
      </c>
      <c r="C46" s="650"/>
      <c r="D46" s="81"/>
      <c r="E46" s="81"/>
      <c r="F46" s="81"/>
      <c r="G46" s="79">
        <v>110</v>
      </c>
      <c r="H46" s="79">
        <v>2.5</v>
      </c>
      <c r="I46" s="79">
        <v>0.1</v>
      </c>
      <c r="J46" s="79">
        <f t="shared" si="1"/>
        <v>27.5</v>
      </c>
      <c r="K46" s="80" t="s">
        <v>589</v>
      </c>
      <c r="L46" s="79">
        <v>2016</v>
      </c>
      <c r="M46" s="81"/>
      <c r="N46" s="79" t="s">
        <v>577</v>
      </c>
      <c r="O46" s="81"/>
      <c r="P46" s="262" t="s">
        <v>577</v>
      </c>
      <c r="Q46" s="242">
        <v>15000000</v>
      </c>
      <c r="R46" s="79" t="s">
        <v>353</v>
      </c>
      <c r="S46" s="81"/>
      <c r="T46" s="103" t="s">
        <v>38</v>
      </c>
      <c r="U46" s="89"/>
      <c r="V46" s="89"/>
      <c r="W46" s="92"/>
    </row>
    <row r="47" spans="1:23" ht="25.5" customHeight="1" x14ac:dyDescent="0.25">
      <c r="A47" s="79">
        <v>36</v>
      </c>
      <c r="B47" s="649" t="s">
        <v>491</v>
      </c>
      <c r="C47" s="650"/>
      <c r="D47" s="81"/>
      <c r="E47" s="81"/>
      <c r="F47" s="81"/>
      <c r="G47" s="79">
        <v>45</v>
      </c>
      <c r="H47" s="79">
        <v>2</v>
      </c>
      <c r="I47" s="79">
        <v>0.1</v>
      </c>
      <c r="J47" s="79">
        <f t="shared" si="1"/>
        <v>9</v>
      </c>
      <c r="K47" s="80" t="s">
        <v>590</v>
      </c>
      <c r="L47" s="79">
        <v>2012</v>
      </c>
      <c r="M47" s="81"/>
      <c r="N47" s="79" t="s">
        <v>577</v>
      </c>
      <c r="O47" s="81"/>
      <c r="P47" s="262" t="s">
        <v>577</v>
      </c>
      <c r="Q47" s="242">
        <v>5000000</v>
      </c>
      <c r="R47" s="79" t="s">
        <v>353</v>
      </c>
      <c r="S47" s="81"/>
      <c r="T47" s="103" t="s">
        <v>38</v>
      </c>
      <c r="U47" s="89"/>
      <c r="V47" s="89"/>
      <c r="W47" s="92"/>
    </row>
    <row r="48" spans="1:23" ht="25.5" customHeight="1" x14ac:dyDescent="0.25">
      <c r="A48" s="79">
        <v>37</v>
      </c>
      <c r="B48" s="649" t="s">
        <v>491</v>
      </c>
      <c r="C48" s="650"/>
      <c r="D48" s="81"/>
      <c r="E48" s="81"/>
      <c r="F48" s="81"/>
      <c r="G48" s="79">
        <v>92.4</v>
      </c>
      <c r="H48" s="79">
        <v>3</v>
      </c>
      <c r="I48" s="79">
        <v>0.1</v>
      </c>
      <c r="J48" s="79">
        <f t="shared" si="1"/>
        <v>27.720000000000006</v>
      </c>
      <c r="K48" s="80" t="s">
        <v>590</v>
      </c>
      <c r="L48" s="79">
        <v>2013</v>
      </c>
      <c r="M48" s="81"/>
      <c r="N48" s="79" t="s">
        <v>577</v>
      </c>
      <c r="O48" s="81"/>
      <c r="P48" s="262" t="s">
        <v>577</v>
      </c>
      <c r="Q48" s="242">
        <v>3000000</v>
      </c>
      <c r="R48" s="79" t="s">
        <v>352</v>
      </c>
      <c r="S48" s="81"/>
      <c r="T48" s="103" t="s">
        <v>38</v>
      </c>
      <c r="U48" s="89"/>
      <c r="V48" s="89"/>
      <c r="W48" s="92"/>
    </row>
    <row r="49" spans="1:26" ht="25.5" customHeight="1" x14ac:dyDescent="0.25">
      <c r="A49" s="79">
        <v>38</v>
      </c>
      <c r="B49" s="649" t="s">
        <v>491</v>
      </c>
      <c r="C49" s="650"/>
      <c r="D49" s="81"/>
      <c r="E49" s="81"/>
      <c r="F49" s="81"/>
      <c r="G49" s="79">
        <v>157.6</v>
      </c>
      <c r="H49" s="79">
        <v>2</v>
      </c>
      <c r="I49" s="79">
        <v>0.1</v>
      </c>
      <c r="J49" s="79">
        <f t="shared" si="1"/>
        <v>31.52</v>
      </c>
      <c r="K49" s="80" t="s">
        <v>296</v>
      </c>
      <c r="L49" s="79">
        <v>2016</v>
      </c>
      <c r="M49" s="81"/>
      <c r="N49" s="79" t="s">
        <v>577</v>
      </c>
      <c r="O49" s="81"/>
      <c r="P49" s="262" t="s">
        <v>577</v>
      </c>
      <c r="Q49" s="242">
        <v>22000000</v>
      </c>
      <c r="R49" s="79" t="s">
        <v>349</v>
      </c>
      <c r="S49" s="81"/>
      <c r="T49" s="103" t="s">
        <v>38</v>
      </c>
      <c r="U49" s="89"/>
      <c r="V49" s="89"/>
      <c r="W49" s="92"/>
    </row>
    <row r="50" spans="1:26" ht="25.5" customHeight="1" x14ac:dyDescent="0.25">
      <c r="A50" s="79">
        <v>39</v>
      </c>
      <c r="B50" s="649" t="s">
        <v>491</v>
      </c>
      <c r="C50" s="650"/>
      <c r="D50" s="81"/>
      <c r="E50" s="81"/>
      <c r="F50" s="81"/>
      <c r="G50" s="79">
        <v>115</v>
      </c>
      <c r="H50" s="79">
        <v>2.5</v>
      </c>
      <c r="I50" s="79">
        <v>0.1</v>
      </c>
      <c r="J50" s="79">
        <f t="shared" si="1"/>
        <v>28.75</v>
      </c>
      <c r="K50" s="80" t="s">
        <v>591</v>
      </c>
      <c r="L50" s="79">
        <v>2018</v>
      </c>
      <c r="M50" s="81"/>
      <c r="N50" s="79" t="s">
        <v>577</v>
      </c>
      <c r="O50" s="81"/>
      <c r="P50" s="262" t="s">
        <v>577</v>
      </c>
      <c r="Q50" s="242">
        <v>17000000</v>
      </c>
      <c r="R50" s="79" t="s">
        <v>353</v>
      </c>
      <c r="S50" s="81"/>
      <c r="T50" s="103" t="s">
        <v>38</v>
      </c>
      <c r="U50" s="89"/>
      <c r="V50" s="89"/>
      <c r="W50" s="92"/>
    </row>
    <row r="51" spans="1:26" ht="25.5" customHeight="1" x14ac:dyDescent="0.25">
      <c r="A51" s="79">
        <v>40</v>
      </c>
      <c r="B51" s="649" t="s">
        <v>484</v>
      </c>
      <c r="C51" s="650"/>
      <c r="D51" s="81"/>
      <c r="E51" s="81"/>
      <c r="F51" s="81"/>
      <c r="G51" s="79">
        <v>30</v>
      </c>
      <c r="H51" s="79">
        <v>2.5</v>
      </c>
      <c r="I51" s="79">
        <v>0.1</v>
      </c>
      <c r="J51" s="79">
        <f t="shared" si="1"/>
        <v>7.5</v>
      </c>
      <c r="K51" s="80" t="s">
        <v>285</v>
      </c>
      <c r="L51" s="79">
        <v>2010</v>
      </c>
      <c r="M51" s="81"/>
      <c r="N51" s="79" t="s">
        <v>577</v>
      </c>
      <c r="O51" s="81"/>
      <c r="P51" s="262" t="s">
        <v>577</v>
      </c>
      <c r="Q51" s="242">
        <v>3500000</v>
      </c>
      <c r="R51" s="79" t="s">
        <v>352</v>
      </c>
      <c r="S51" s="81"/>
      <c r="T51" s="103" t="s">
        <v>38</v>
      </c>
      <c r="U51" s="89"/>
      <c r="V51" s="89"/>
      <c r="W51" s="92"/>
    </row>
    <row r="52" spans="1:26" ht="25.5" customHeight="1" x14ac:dyDescent="0.25">
      <c r="A52" s="79">
        <v>41</v>
      </c>
      <c r="B52" s="649" t="s">
        <v>484</v>
      </c>
      <c r="C52" s="650"/>
      <c r="D52" s="81"/>
      <c r="E52" s="81"/>
      <c r="F52" s="81"/>
      <c r="G52" s="79">
        <v>243</v>
      </c>
      <c r="H52" s="79">
        <v>2.5</v>
      </c>
      <c r="I52" s="79">
        <v>0.1</v>
      </c>
      <c r="J52" s="79">
        <f t="shared" si="1"/>
        <v>60.75</v>
      </c>
      <c r="K52" s="80" t="s">
        <v>592</v>
      </c>
      <c r="L52" s="79">
        <v>2016</v>
      </c>
      <c r="M52" s="81"/>
      <c r="N52" s="79" t="s">
        <v>577</v>
      </c>
      <c r="O52" s="81"/>
      <c r="P52" s="262" t="s">
        <v>585</v>
      </c>
      <c r="Q52" s="242">
        <v>51637500</v>
      </c>
      <c r="R52" s="79" t="s">
        <v>353</v>
      </c>
      <c r="S52" s="81"/>
      <c r="T52" s="103" t="s">
        <v>38</v>
      </c>
      <c r="U52" s="89"/>
      <c r="V52" s="89"/>
      <c r="W52" s="92"/>
    </row>
    <row r="53" spans="1:26" ht="25.5" customHeight="1" x14ac:dyDescent="0.25">
      <c r="A53" s="79">
        <v>42</v>
      </c>
      <c r="B53" s="649" t="s">
        <v>484</v>
      </c>
      <c r="C53" s="650"/>
      <c r="D53" s="81"/>
      <c r="E53" s="81"/>
      <c r="F53" s="81"/>
      <c r="G53" s="79">
        <v>50.4</v>
      </c>
      <c r="H53" s="79">
        <v>2</v>
      </c>
      <c r="I53" s="79">
        <v>0.1</v>
      </c>
      <c r="J53" s="79">
        <f t="shared" si="1"/>
        <v>10.08</v>
      </c>
      <c r="K53" s="80" t="s">
        <v>287</v>
      </c>
      <c r="L53" s="79">
        <v>2013</v>
      </c>
      <c r="M53" s="81"/>
      <c r="N53" s="79" t="s">
        <v>577</v>
      </c>
      <c r="O53" s="81"/>
      <c r="P53" s="262" t="s">
        <v>577</v>
      </c>
      <c r="Q53" s="242">
        <v>8500000</v>
      </c>
      <c r="R53" s="79" t="s">
        <v>349</v>
      </c>
      <c r="S53" s="81"/>
      <c r="T53" s="103" t="s">
        <v>38</v>
      </c>
      <c r="U53" s="89"/>
      <c r="V53" s="89"/>
      <c r="W53" s="92"/>
    </row>
    <row r="54" spans="1:26" ht="25.5" customHeight="1" x14ac:dyDescent="0.25">
      <c r="A54" s="79">
        <v>43</v>
      </c>
      <c r="B54" s="647" t="s">
        <v>484</v>
      </c>
      <c r="C54" s="648"/>
      <c r="D54" s="81"/>
      <c r="E54" s="81"/>
      <c r="F54" s="81" t="s">
        <v>476</v>
      </c>
      <c r="G54" s="79">
        <v>45</v>
      </c>
      <c r="H54" s="79">
        <v>2</v>
      </c>
      <c r="I54" s="79">
        <v>0.1</v>
      </c>
      <c r="J54" s="79">
        <f t="shared" si="1"/>
        <v>9</v>
      </c>
      <c r="K54" s="80" t="s">
        <v>285</v>
      </c>
      <c r="L54" s="79">
        <v>2018</v>
      </c>
      <c r="M54" s="81"/>
      <c r="N54" s="79" t="s">
        <v>577</v>
      </c>
      <c r="O54" s="81"/>
      <c r="P54" s="246" t="s">
        <v>586</v>
      </c>
      <c r="Q54" s="242">
        <v>16560550</v>
      </c>
      <c r="R54" s="79" t="s">
        <v>228</v>
      </c>
      <c r="S54" s="81"/>
      <c r="T54" s="103" t="s">
        <v>38</v>
      </c>
      <c r="U54" s="89"/>
      <c r="V54" s="89"/>
      <c r="W54" s="92"/>
    </row>
    <row r="55" spans="1:26" ht="24.75" customHeight="1" x14ac:dyDescent="0.25">
      <c r="A55" s="79">
        <v>44</v>
      </c>
      <c r="B55" s="649" t="s">
        <v>480</v>
      </c>
      <c r="C55" s="650"/>
      <c r="D55" s="81"/>
      <c r="E55" s="81"/>
      <c r="F55" s="81" t="s">
        <v>476</v>
      </c>
      <c r="G55" s="79">
        <v>175</v>
      </c>
      <c r="H55" s="79">
        <v>2.5</v>
      </c>
      <c r="I55" s="79">
        <v>0.1</v>
      </c>
      <c r="J55" s="79">
        <f t="shared" si="1"/>
        <v>43.75</v>
      </c>
      <c r="K55" s="80" t="s">
        <v>478</v>
      </c>
      <c r="L55" s="79">
        <v>2018</v>
      </c>
      <c r="M55" s="81"/>
      <c r="N55" s="79" t="s">
        <v>577</v>
      </c>
      <c r="O55" s="81"/>
      <c r="P55" s="246" t="s">
        <v>585</v>
      </c>
      <c r="Q55" s="242">
        <v>34512200</v>
      </c>
      <c r="R55" s="79" t="s">
        <v>228</v>
      </c>
      <c r="S55" s="81"/>
      <c r="T55" s="103" t="s">
        <v>38</v>
      </c>
      <c r="U55" s="89"/>
      <c r="V55" s="90"/>
      <c r="W55" s="92"/>
    </row>
    <row r="56" spans="1:26" ht="25.5" customHeight="1" x14ac:dyDescent="0.25">
      <c r="A56" s="79">
        <v>45</v>
      </c>
      <c r="B56" s="649" t="s">
        <v>483</v>
      </c>
      <c r="C56" s="650"/>
      <c r="D56" s="81"/>
      <c r="E56" s="81"/>
      <c r="F56" s="81" t="s">
        <v>476</v>
      </c>
      <c r="G56" s="79">
        <v>104</v>
      </c>
      <c r="H56" s="79">
        <v>2.5</v>
      </c>
      <c r="I56" s="79">
        <v>0.1</v>
      </c>
      <c r="J56" s="79">
        <f t="shared" si="1"/>
        <v>26</v>
      </c>
      <c r="K56" s="79" t="s">
        <v>290</v>
      </c>
      <c r="L56" s="79">
        <v>2018</v>
      </c>
      <c r="M56" s="81"/>
      <c r="N56" s="79" t="s">
        <v>577</v>
      </c>
      <c r="O56" s="81"/>
      <c r="P56" s="246" t="s">
        <v>586</v>
      </c>
      <c r="Q56" s="242">
        <v>31118650</v>
      </c>
      <c r="R56" s="79" t="s">
        <v>228</v>
      </c>
      <c r="S56" s="81"/>
      <c r="T56" s="103" t="s">
        <v>38</v>
      </c>
      <c r="U56" s="89"/>
      <c r="V56" s="92"/>
      <c r="W56" s="89"/>
    </row>
    <row r="57" spans="1:26" ht="25.5" customHeight="1" x14ac:dyDescent="0.25">
      <c r="A57" s="79">
        <v>46</v>
      </c>
      <c r="B57" s="649" t="s">
        <v>483</v>
      </c>
      <c r="C57" s="650"/>
      <c r="D57" s="81"/>
      <c r="E57" s="81"/>
      <c r="F57" s="81" t="s">
        <v>476</v>
      </c>
      <c r="G57" s="79">
        <v>56</v>
      </c>
      <c r="H57" s="79">
        <v>3</v>
      </c>
      <c r="I57" s="79">
        <v>0.1</v>
      </c>
      <c r="J57" s="79">
        <f t="shared" si="1"/>
        <v>16.8</v>
      </c>
      <c r="K57" s="79" t="s">
        <v>288</v>
      </c>
      <c r="L57" s="79">
        <v>2018</v>
      </c>
      <c r="M57" s="81"/>
      <c r="N57" s="79" t="s">
        <v>577</v>
      </c>
      <c r="O57" s="81"/>
      <c r="P57" s="246" t="s">
        <v>585</v>
      </c>
      <c r="Q57" s="242">
        <v>19257750</v>
      </c>
      <c r="R57" s="79" t="s">
        <v>228</v>
      </c>
      <c r="S57" s="81"/>
      <c r="T57" s="103" t="s">
        <v>38</v>
      </c>
      <c r="U57" s="89"/>
      <c r="V57" s="92"/>
      <c r="W57" s="89"/>
    </row>
    <row r="58" spans="1:26" ht="25.5" customHeight="1" x14ac:dyDescent="0.25">
      <c r="A58" s="79">
        <v>47</v>
      </c>
      <c r="B58" s="646" t="s">
        <v>477</v>
      </c>
      <c r="C58" s="646"/>
      <c r="D58" s="81"/>
      <c r="E58" s="81"/>
      <c r="F58" s="81" t="s">
        <v>476</v>
      </c>
      <c r="G58" s="261">
        <v>398</v>
      </c>
      <c r="H58" s="79">
        <v>3</v>
      </c>
      <c r="I58" s="79">
        <v>0.05</v>
      </c>
      <c r="J58" s="79">
        <f t="shared" si="1"/>
        <v>59.7</v>
      </c>
      <c r="K58" s="79" t="s">
        <v>293</v>
      </c>
      <c r="L58" s="79">
        <v>2018</v>
      </c>
      <c r="M58" s="81"/>
      <c r="N58" s="79" t="s">
        <v>577</v>
      </c>
      <c r="O58" s="81"/>
      <c r="P58" s="246" t="s">
        <v>585</v>
      </c>
      <c r="Q58" s="242">
        <v>75000000</v>
      </c>
      <c r="R58" s="79" t="s">
        <v>228</v>
      </c>
      <c r="S58" s="81"/>
      <c r="T58" s="103" t="s">
        <v>38</v>
      </c>
      <c r="U58" s="89"/>
      <c r="V58" s="89"/>
      <c r="W58" s="89"/>
    </row>
    <row r="59" spans="1:26" ht="51" customHeight="1" x14ac:dyDescent="0.25">
      <c r="A59" s="79">
        <v>48</v>
      </c>
      <c r="B59" s="646" t="s">
        <v>487</v>
      </c>
      <c r="C59" s="646"/>
      <c r="D59" s="81"/>
      <c r="E59" s="81"/>
      <c r="F59" s="81" t="s">
        <v>476</v>
      </c>
      <c r="G59" s="79">
        <v>1079</v>
      </c>
      <c r="H59" s="79">
        <v>3</v>
      </c>
      <c r="I59" s="79">
        <v>0.03</v>
      </c>
      <c r="J59" s="79">
        <f t="shared" si="1"/>
        <v>97.11</v>
      </c>
      <c r="K59" s="80" t="s">
        <v>486</v>
      </c>
      <c r="L59" s="79">
        <v>2018</v>
      </c>
      <c r="M59" s="81"/>
      <c r="N59" s="79" t="s">
        <v>577</v>
      </c>
      <c r="O59" s="81"/>
      <c r="P59" s="246" t="s">
        <v>585</v>
      </c>
      <c r="Q59" s="242">
        <v>294386500</v>
      </c>
      <c r="R59" s="79" t="s">
        <v>228</v>
      </c>
      <c r="S59" s="81"/>
      <c r="T59" s="103" t="s">
        <v>38</v>
      </c>
      <c r="U59" s="89"/>
      <c r="V59" s="90"/>
      <c r="W59" s="89"/>
    </row>
    <row r="60" spans="1:26" ht="44.25" customHeight="1" x14ac:dyDescent="0.25">
      <c r="A60" s="79">
        <v>49</v>
      </c>
      <c r="B60" s="647" t="s">
        <v>488</v>
      </c>
      <c r="C60" s="648"/>
      <c r="D60" s="81"/>
      <c r="E60" s="81"/>
      <c r="F60" s="81" t="s">
        <v>476</v>
      </c>
      <c r="G60" s="79">
        <v>490</v>
      </c>
      <c r="H60" s="79">
        <v>3</v>
      </c>
      <c r="I60" s="79">
        <v>0.05</v>
      </c>
      <c r="J60" s="79">
        <f t="shared" si="1"/>
        <v>73.5</v>
      </c>
      <c r="K60" s="80" t="s">
        <v>489</v>
      </c>
      <c r="L60" s="79">
        <v>2018</v>
      </c>
      <c r="M60" s="81" t="s">
        <v>440</v>
      </c>
      <c r="N60" s="79" t="s">
        <v>577</v>
      </c>
      <c r="O60" s="81"/>
      <c r="P60" s="246" t="s">
        <v>585</v>
      </c>
      <c r="Q60" s="242">
        <v>109064250</v>
      </c>
      <c r="R60" s="79" t="s">
        <v>228</v>
      </c>
      <c r="S60" s="81"/>
      <c r="T60" s="103" t="s">
        <v>38</v>
      </c>
      <c r="U60" s="89"/>
      <c r="V60" s="89"/>
      <c r="W60" s="89"/>
    </row>
    <row r="61" spans="1:26" ht="38.25" customHeight="1" x14ac:dyDescent="0.25">
      <c r="A61" s="79">
        <v>50</v>
      </c>
      <c r="B61" s="647" t="s">
        <v>490</v>
      </c>
      <c r="C61" s="648"/>
      <c r="D61" s="81"/>
      <c r="E61" s="81"/>
      <c r="F61" s="81" t="s">
        <v>476</v>
      </c>
      <c r="G61" s="79">
        <v>138.5</v>
      </c>
      <c r="H61" s="79">
        <v>4</v>
      </c>
      <c r="I61" s="261">
        <v>0.1</v>
      </c>
      <c r="J61" s="79">
        <f t="shared" si="1"/>
        <v>55.400000000000006</v>
      </c>
      <c r="K61" s="79" t="s">
        <v>507</v>
      </c>
      <c r="L61" s="79">
        <v>2018</v>
      </c>
      <c r="M61" s="81"/>
      <c r="N61" s="79" t="s">
        <v>577</v>
      </c>
      <c r="O61" s="81"/>
      <c r="P61" s="246" t="s">
        <v>585</v>
      </c>
      <c r="Q61" s="265">
        <v>48847500</v>
      </c>
      <c r="R61" s="79" t="s">
        <v>228</v>
      </c>
      <c r="S61" s="81"/>
      <c r="T61" s="103" t="s">
        <v>38</v>
      </c>
      <c r="U61" s="89"/>
      <c r="V61" s="89"/>
      <c r="W61" s="89"/>
    </row>
    <row r="62" spans="1:26" ht="25.5" customHeight="1" x14ac:dyDescent="0.25">
      <c r="A62" s="79">
        <v>51</v>
      </c>
      <c r="B62" s="647" t="s">
        <v>491</v>
      </c>
      <c r="C62" s="648"/>
      <c r="D62" s="81"/>
      <c r="E62" s="81"/>
      <c r="F62" s="81" t="s">
        <v>476</v>
      </c>
      <c r="G62" s="79">
        <v>140</v>
      </c>
      <c r="H62" s="79">
        <v>2.5</v>
      </c>
      <c r="I62" s="261">
        <v>0.1</v>
      </c>
      <c r="J62" s="79">
        <f t="shared" si="1"/>
        <v>35</v>
      </c>
      <c r="K62" s="79" t="s">
        <v>492</v>
      </c>
      <c r="L62" s="79">
        <v>2018</v>
      </c>
      <c r="M62" s="81"/>
      <c r="N62" s="79" t="s">
        <v>577</v>
      </c>
      <c r="O62" s="81"/>
      <c r="P62" s="246" t="s">
        <v>585</v>
      </c>
      <c r="Q62" s="242">
        <v>58087250</v>
      </c>
      <c r="R62" s="79" t="s">
        <v>228</v>
      </c>
      <c r="S62" s="81"/>
      <c r="T62" s="103" t="s">
        <v>38</v>
      </c>
      <c r="U62" s="89"/>
      <c r="V62" s="90"/>
      <c r="W62" s="89"/>
    </row>
    <row r="63" spans="1:26" ht="25.5" customHeight="1" x14ac:dyDescent="0.25">
      <c r="A63" s="79">
        <v>52</v>
      </c>
      <c r="B63" s="647" t="s">
        <v>491</v>
      </c>
      <c r="C63" s="648"/>
      <c r="D63" s="81"/>
      <c r="E63" s="81"/>
      <c r="F63" s="81" t="s">
        <v>476</v>
      </c>
      <c r="G63" s="79">
        <v>50</v>
      </c>
      <c r="H63" s="79">
        <v>4</v>
      </c>
      <c r="I63" s="79">
        <v>0.1</v>
      </c>
      <c r="J63" s="79">
        <f t="shared" si="1"/>
        <v>20</v>
      </c>
      <c r="K63" s="79" t="s">
        <v>292</v>
      </c>
      <c r="L63" s="79">
        <v>2018</v>
      </c>
      <c r="M63" s="81"/>
      <c r="N63" s="79" t="s">
        <v>577</v>
      </c>
      <c r="O63" s="81"/>
      <c r="P63" s="246" t="s">
        <v>585</v>
      </c>
      <c r="Q63" s="242">
        <v>12931000</v>
      </c>
      <c r="R63" s="79" t="s">
        <v>228</v>
      </c>
      <c r="S63" s="81"/>
      <c r="T63" s="103" t="s">
        <v>38</v>
      </c>
      <c r="U63" s="89"/>
      <c r="V63" s="89"/>
      <c r="W63" s="89"/>
    </row>
    <row r="64" spans="1:26" ht="25.5" customHeight="1" x14ac:dyDescent="0.25">
      <c r="A64" s="79">
        <v>53</v>
      </c>
      <c r="B64" s="668" t="s">
        <v>493</v>
      </c>
      <c r="C64" s="668"/>
      <c r="D64" s="81"/>
      <c r="E64" s="81"/>
      <c r="F64" s="81" t="s">
        <v>476</v>
      </c>
      <c r="G64" s="79">
        <v>200</v>
      </c>
      <c r="H64" s="79">
        <v>0.45</v>
      </c>
      <c r="I64" s="79">
        <v>1.75</v>
      </c>
      <c r="J64" s="79">
        <f t="shared" si="1"/>
        <v>157.5</v>
      </c>
      <c r="K64" s="79" t="s">
        <v>485</v>
      </c>
      <c r="L64" s="79">
        <v>2018</v>
      </c>
      <c r="M64" s="81"/>
      <c r="N64" s="79" t="s">
        <v>577</v>
      </c>
      <c r="O64" s="81"/>
      <c r="P64" s="246" t="s">
        <v>585</v>
      </c>
      <c r="Q64" s="242">
        <v>152530000</v>
      </c>
      <c r="R64" s="79" t="s">
        <v>228</v>
      </c>
      <c r="S64" s="81"/>
      <c r="T64" s="103" t="s">
        <v>38</v>
      </c>
      <c r="U64" s="89"/>
      <c r="V64" s="89"/>
      <c r="W64" s="89"/>
      <c r="X64" s="89"/>
      <c r="Y64" s="89"/>
      <c r="Z64" s="89"/>
    </row>
    <row r="65" spans="1:26" x14ac:dyDescent="0.25">
      <c r="A65" s="151"/>
      <c r="B65" s="152" t="s">
        <v>195</v>
      </c>
      <c r="C65" s="152"/>
      <c r="D65" s="153"/>
      <c r="E65" s="153"/>
      <c r="F65" s="153"/>
      <c r="G65" s="238"/>
      <c r="H65" s="238"/>
      <c r="I65" s="238"/>
      <c r="J65" s="238"/>
      <c r="K65" s="154"/>
      <c r="L65" s="154"/>
      <c r="M65" s="153"/>
      <c r="N65" s="153"/>
      <c r="O65" s="153"/>
      <c r="P65" s="152"/>
      <c r="Q65" s="297">
        <f>SUM(Q12:Q64)</f>
        <v>2050388422</v>
      </c>
      <c r="R65" s="154"/>
      <c r="S65" s="153"/>
      <c r="T65" s="104"/>
      <c r="U65" s="89"/>
      <c r="V65" s="89"/>
      <c r="W65" s="89"/>
      <c r="X65" s="89"/>
      <c r="Y65" s="89"/>
      <c r="Z65" s="89"/>
    </row>
    <row r="66" spans="1:26" x14ac:dyDescent="0.25">
      <c r="A66" s="665"/>
      <c r="B66" s="666"/>
      <c r="C66" s="666"/>
      <c r="D66" s="666"/>
      <c r="E66" s="666"/>
      <c r="F66" s="666"/>
      <c r="G66" s="666"/>
      <c r="H66" s="666"/>
      <c r="I66" s="666"/>
      <c r="J66" s="666"/>
      <c r="K66" s="666"/>
      <c r="L66" s="666"/>
      <c r="M66" s="666"/>
      <c r="N66" s="666"/>
      <c r="O66" s="666"/>
      <c r="P66" s="666"/>
      <c r="Q66" s="666"/>
      <c r="R66" s="666"/>
      <c r="S66" s="667"/>
      <c r="T66" s="74"/>
      <c r="U66" s="89"/>
      <c r="V66" s="93"/>
      <c r="W66" s="94"/>
      <c r="X66" s="89"/>
      <c r="Y66" s="89"/>
      <c r="Z66" s="89"/>
    </row>
    <row r="67" spans="1:26" ht="15.75" x14ac:dyDescent="0.25">
      <c r="A67" s="645" t="s">
        <v>318</v>
      </c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5"/>
      <c r="P67" s="645"/>
      <c r="Q67" s="645"/>
      <c r="R67" s="645"/>
      <c r="S67" s="438"/>
      <c r="T67" s="102"/>
      <c r="U67" s="89"/>
      <c r="V67" s="93"/>
      <c r="W67" s="94"/>
      <c r="X67" s="89"/>
      <c r="Y67" s="89"/>
      <c r="Z67" s="89"/>
    </row>
    <row r="68" spans="1:26" ht="38.25" x14ac:dyDescent="0.25">
      <c r="A68" s="78">
        <v>1</v>
      </c>
      <c r="B68" s="664" t="s">
        <v>494</v>
      </c>
      <c r="C68" s="664"/>
      <c r="D68" s="81"/>
      <c r="E68" s="81"/>
      <c r="F68" s="81" t="s">
        <v>476</v>
      </c>
      <c r="G68" s="79">
        <v>1975</v>
      </c>
      <c r="H68" s="79">
        <v>3.2</v>
      </c>
      <c r="I68" s="79">
        <v>0.02</v>
      </c>
      <c r="J68" s="79">
        <f>G68*H68*I68</f>
        <v>126.4</v>
      </c>
      <c r="K68" s="80" t="s">
        <v>495</v>
      </c>
      <c r="L68" s="79">
        <v>2019</v>
      </c>
      <c r="M68" s="81"/>
      <c r="N68" s="81"/>
      <c r="O68" s="81"/>
      <c r="P68" s="246" t="s">
        <v>585</v>
      </c>
      <c r="Q68" s="265">
        <v>387794500</v>
      </c>
      <c r="R68" s="79" t="s">
        <v>228</v>
      </c>
      <c r="S68" s="81"/>
      <c r="T68" s="103" t="s">
        <v>38</v>
      </c>
      <c r="U68" s="89"/>
      <c r="V68" s="93"/>
      <c r="W68" s="94"/>
      <c r="X68" s="89"/>
      <c r="Y68" s="89"/>
      <c r="Z68" s="92"/>
    </row>
    <row r="69" spans="1:26" ht="38.25" x14ac:dyDescent="0.25">
      <c r="A69" s="245">
        <v>2</v>
      </c>
      <c r="B69" s="635" t="s">
        <v>496</v>
      </c>
      <c r="C69" s="636"/>
      <c r="D69" s="81"/>
      <c r="E69" s="81"/>
      <c r="F69" s="81" t="s">
        <v>476</v>
      </c>
      <c r="G69" s="79">
        <v>120</v>
      </c>
      <c r="H69" s="79">
        <v>2.5</v>
      </c>
      <c r="I69" s="79">
        <v>0.1</v>
      </c>
      <c r="J69" s="79">
        <f t="shared" ref="J69:J83" si="2">G69*H69*I69</f>
        <v>30</v>
      </c>
      <c r="K69" s="80" t="s">
        <v>497</v>
      </c>
      <c r="L69" s="79">
        <v>2019</v>
      </c>
      <c r="M69" s="81"/>
      <c r="N69" s="81"/>
      <c r="O69" s="81"/>
      <c r="P69" s="246" t="s">
        <v>585</v>
      </c>
      <c r="Q69" s="265">
        <v>108367000</v>
      </c>
      <c r="R69" s="79" t="s">
        <v>228</v>
      </c>
      <c r="S69" s="81"/>
      <c r="T69" s="103" t="s">
        <v>38</v>
      </c>
      <c r="U69" s="298"/>
      <c r="V69" s="93"/>
      <c r="W69" s="94"/>
      <c r="X69" s="89"/>
      <c r="Y69" s="89"/>
      <c r="Z69" s="92"/>
    </row>
    <row r="70" spans="1:26" ht="27.75" customHeight="1" x14ac:dyDescent="0.25">
      <c r="A70" s="245">
        <f t="shared" ref="A70:A84" si="3">A69+1</f>
        <v>3</v>
      </c>
      <c r="B70" s="635" t="s">
        <v>491</v>
      </c>
      <c r="C70" s="636"/>
      <c r="D70" s="81"/>
      <c r="E70" s="81"/>
      <c r="F70" s="81" t="s">
        <v>476</v>
      </c>
      <c r="G70" s="79">
        <v>50</v>
      </c>
      <c r="H70" s="79">
        <v>2.5</v>
      </c>
      <c r="I70" s="79">
        <v>0.1</v>
      </c>
      <c r="J70" s="79">
        <f t="shared" si="2"/>
        <v>12.5</v>
      </c>
      <c r="K70" s="79" t="s">
        <v>291</v>
      </c>
      <c r="L70" s="79">
        <v>2019</v>
      </c>
      <c r="M70" s="81"/>
      <c r="N70" s="81"/>
      <c r="O70" s="81"/>
      <c r="P70" s="285" t="s">
        <v>585</v>
      </c>
      <c r="Q70" s="265">
        <v>10318000</v>
      </c>
      <c r="R70" s="79" t="s">
        <v>228</v>
      </c>
      <c r="S70" s="81"/>
      <c r="T70" s="103" t="s">
        <v>38</v>
      </c>
      <c r="U70" s="298"/>
      <c r="V70" s="93"/>
      <c r="W70" s="94"/>
      <c r="X70" s="89"/>
      <c r="Y70" s="89"/>
      <c r="Z70" s="92"/>
    </row>
    <row r="71" spans="1:26" x14ac:dyDescent="0.25">
      <c r="A71" s="245">
        <f t="shared" si="3"/>
        <v>4</v>
      </c>
      <c r="B71" s="664" t="s">
        <v>498</v>
      </c>
      <c r="C71" s="664"/>
      <c r="D71" s="81"/>
      <c r="E71" s="81"/>
      <c r="F71" s="81" t="s">
        <v>476</v>
      </c>
      <c r="G71" s="79">
        <v>84.5</v>
      </c>
      <c r="H71" s="79">
        <v>0.35</v>
      </c>
      <c r="I71" s="79">
        <v>1.1000000000000001</v>
      </c>
      <c r="J71" s="79">
        <f t="shared" si="2"/>
        <v>32.532499999999999</v>
      </c>
      <c r="K71" s="79" t="s">
        <v>285</v>
      </c>
      <c r="L71" s="79">
        <v>2019</v>
      </c>
      <c r="M71" s="81"/>
      <c r="N71" s="81"/>
      <c r="O71" s="81"/>
      <c r="P71" s="285" t="s">
        <v>585</v>
      </c>
      <c r="Q71" s="265">
        <v>39325000</v>
      </c>
      <c r="R71" s="79" t="s">
        <v>228</v>
      </c>
      <c r="S71" s="81"/>
      <c r="T71" s="103" t="s">
        <v>38</v>
      </c>
      <c r="U71" s="298"/>
      <c r="V71" s="93"/>
      <c r="W71" s="94"/>
      <c r="X71" s="89"/>
      <c r="Y71" s="89"/>
      <c r="Z71" s="92"/>
    </row>
    <row r="72" spans="1:26" ht="26.25" customHeight="1" x14ac:dyDescent="0.25">
      <c r="A72" s="245">
        <f t="shared" si="3"/>
        <v>5</v>
      </c>
      <c r="B72" s="635" t="s">
        <v>499</v>
      </c>
      <c r="C72" s="636"/>
      <c r="D72" s="81"/>
      <c r="E72" s="81"/>
      <c r="F72" s="81" t="s">
        <v>476</v>
      </c>
      <c r="G72" s="79">
        <v>80</v>
      </c>
      <c r="H72" s="79">
        <v>0.55000000000000004</v>
      </c>
      <c r="I72" s="79">
        <v>2.2999999999999998</v>
      </c>
      <c r="J72" s="79">
        <f t="shared" si="2"/>
        <v>101.19999999999999</v>
      </c>
      <c r="K72" s="79" t="s">
        <v>478</v>
      </c>
      <c r="L72" s="79">
        <v>2019</v>
      </c>
      <c r="M72" s="81"/>
      <c r="N72" s="81"/>
      <c r="O72" s="81"/>
      <c r="P72" s="285" t="s">
        <v>585</v>
      </c>
      <c r="Q72" s="265">
        <v>117844000</v>
      </c>
      <c r="R72" s="79" t="s">
        <v>228</v>
      </c>
      <c r="S72" s="81"/>
      <c r="T72" s="103" t="s">
        <v>38</v>
      </c>
      <c r="U72" s="298"/>
      <c r="V72" s="93"/>
      <c r="W72" s="94"/>
      <c r="X72" s="89"/>
      <c r="Y72" s="89"/>
      <c r="Z72" s="92"/>
    </row>
    <row r="73" spans="1:26" ht="26.25" customHeight="1" x14ac:dyDescent="0.25">
      <c r="A73" s="263">
        <f t="shared" si="3"/>
        <v>6</v>
      </c>
      <c r="B73" s="635" t="s">
        <v>499</v>
      </c>
      <c r="C73" s="636"/>
      <c r="D73" s="81"/>
      <c r="E73" s="81"/>
      <c r="F73" s="81" t="s">
        <v>476</v>
      </c>
      <c r="G73" s="79">
        <v>40.799999999999997</v>
      </c>
      <c r="H73" s="79">
        <v>0.47499999999999998</v>
      </c>
      <c r="I73" s="79">
        <v>2.1</v>
      </c>
      <c r="J73" s="79">
        <f t="shared" si="2"/>
        <v>40.698</v>
      </c>
      <c r="K73" s="79" t="s">
        <v>478</v>
      </c>
      <c r="L73" s="79">
        <v>2019</v>
      </c>
      <c r="M73" s="81"/>
      <c r="N73" s="81"/>
      <c r="O73" s="81"/>
      <c r="P73" s="285" t="s">
        <v>585</v>
      </c>
      <c r="Q73" s="265">
        <v>45190500</v>
      </c>
      <c r="R73" s="79" t="s">
        <v>228</v>
      </c>
      <c r="S73" s="81"/>
      <c r="T73" s="103" t="s">
        <v>38</v>
      </c>
      <c r="U73" s="89"/>
      <c r="V73" s="93"/>
      <c r="W73" s="94"/>
      <c r="X73" s="89"/>
      <c r="Y73" s="89"/>
      <c r="Z73" s="92"/>
    </row>
    <row r="74" spans="1:26" ht="27" customHeight="1" x14ac:dyDescent="0.25">
      <c r="A74" s="263">
        <f t="shared" si="3"/>
        <v>7</v>
      </c>
      <c r="B74" s="635" t="s">
        <v>496</v>
      </c>
      <c r="C74" s="636"/>
      <c r="D74" s="81"/>
      <c r="E74" s="81"/>
      <c r="F74" s="81" t="s">
        <v>476</v>
      </c>
      <c r="G74" s="79">
        <v>175</v>
      </c>
      <c r="H74" s="79">
        <v>2.5</v>
      </c>
      <c r="I74" s="79">
        <v>0.1</v>
      </c>
      <c r="J74" s="79">
        <f t="shared" si="2"/>
        <v>43.75</v>
      </c>
      <c r="K74" s="79" t="s">
        <v>297</v>
      </c>
      <c r="L74" s="79">
        <v>2019</v>
      </c>
      <c r="M74" s="81"/>
      <c r="N74" s="81"/>
      <c r="O74" s="81"/>
      <c r="P74" s="246" t="s">
        <v>586</v>
      </c>
      <c r="Q74" s="299">
        <v>37302725</v>
      </c>
      <c r="R74" s="79" t="s">
        <v>228</v>
      </c>
      <c r="S74" s="81"/>
      <c r="T74" s="103" t="s">
        <v>38</v>
      </c>
      <c r="U74" s="89"/>
      <c r="V74" s="93"/>
      <c r="W74" s="94"/>
      <c r="X74" s="89"/>
      <c r="Y74" s="89"/>
      <c r="Z74" s="92"/>
    </row>
    <row r="75" spans="1:26" ht="38.25" x14ac:dyDescent="0.25">
      <c r="A75" s="245">
        <f t="shared" si="3"/>
        <v>8</v>
      </c>
      <c r="B75" s="635" t="s">
        <v>475</v>
      </c>
      <c r="C75" s="636"/>
      <c r="D75" s="81"/>
      <c r="E75" s="81"/>
      <c r="F75" s="81" t="s">
        <v>476</v>
      </c>
      <c r="G75" s="79">
        <v>109</v>
      </c>
      <c r="H75" s="79">
        <v>2.5</v>
      </c>
      <c r="I75" s="79">
        <v>0.1</v>
      </c>
      <c r="J75" s="79">
        <f t="shared" si="2"/>
        <v>27.25</v>
      </c>
      <c r="K75" s="80" t="s">
        <v>500</v>
      </c>
      <c r="L75" s="79">
        <v>2019</v>
      </c>
      <c r="M75" s="81"/>
      <c r="N75" s="81"/>
      <c r="O75" s="81"/>
      <c r="P75" s="264" t="s">
        <v>586</v>
      </c>
      <c r="Q75" s="265">
        <v>30671625</v>
      </c>
      <c r="R75" s="79" t="s">
        <v>228</v>
      </c>
      <c r="S75" s="81"/>
      <c r="T75" s="103" t="s">
        <v>38</v>
      </c>
      <c r="U75" s="89"/>
      <c r="V75" s="95"/>
      <c r="W75" s="96"/>
      <c r="X75" s="89"/>
      <c r="Y75" s="89"/>
      <c r="Z75" s="92"/>
    </row>
    <row r="76" spans="1:26" ht="27" customHeight="1" x14ac:dyDescent="0.25">
      <c r="A76" s="286">
        <f t="shared" si="3"/>
        <v>9</v>
      </c>
      <c r="B76" s="643" t="s">
        <v>483</v>
      </c>
      <c r="C76" s="643"/>
      <c r="D76" s="81"/>
      <c r="E76" s="81"/>
      <c r="F76" s="81" t="s">
        <v>476</v>
      </c>
      <c r="G76" s="79">
        <v>10</v>
      </c>
      <c r="H76" s="261">
        <v>4.5</v>
      </c>
      <c r="I76" s="261">
        <v>0.1</v>
      </c>
      <c r="J76" s="79">
        <f t="shared" si="2"/>
        <v>4.5</v>
      </c>
      <c r="K76" s="80" t="s">
        <v>501</v>
      </c>
      <c r="L76" s="79">
        <v>2019</v>
      </c>
      <c r="M76" s="81"/>
      <c r="N76" s="81"/>
      <c r="O76" s="81"/>
      <c r="P76" s="264" t="s">
        <v>586</v>
      </c>
      <c r="Q76" s="300">
        <v>5675000</v>
      </c>
      <c r="R76" s="79" t="s">
        <v>228</v>
      </c>
      <c r="S76" s="81"/>
      <c r="T76" s="103" t="s">
        <v>38</v>
      </c>
      <c r="U76" s="89"/>
      <c r="V76" s="97"/>
      <c r="W76" s="98"/>
      <c r="X76" s="89"/>
      <c r="Y76" s="89"/>
      <c r="Z76" s="99"/>
    </row>
    <row r="77" spans="1:26" ht="27" customHeight="1" x14ac:dyDescent="0.25">
      <c r="A77" s="286">
        <f t="shared" si="3"/>
        <v>10</v>
      </c>
      <c r="B77" s="643" t="s">
        <v>483</v>
      </c>
      <c r="C77" s="643"/>
      <c r="D77" s="81"/>
      <c r="E77" s="81"/>
      <c r="F77" s="81" t="s">
        <v>476</v>
      </c>
      <c r="G77" s="79">
        <v>47</v>
      </c>
      <c r="H77" s="261">
        <v>2.6</v>
      </c>
      <c r="I77" s="79">
        <v>0.1</v>
      </c>
      <c r="J77" s="79">
        <f t="shared" si="2"/>
        <v>12.22</v>
      </c>
      <c r="K77" s="79" t="s">
        <v>289</v>
      </c>
      <c r="L77" s="79">
        <v>2019</v>
      </c>
      <c r="M77" s="81"/>
      <c r="N77" s="81"/>
      <c r="O77" s="81"/>
      <c r="P77" s="285" t="s">
        <v>586</v>
      </c>
      <c r="Q77" s="265">
        <v>13553475</v>
      </c>
      <c r="R77" s="79" t="s">
        <v>228</v>
      </c>
      <c r="S77" s="81"/>
      <c r="T77" s="103" t="s">
        <v>38</v>
      </c>
      <c r="U77" s="89"/>
      <c r="V77" s="97"/>
      <c r="W77" s="98"/>
      <c r="X77" s="89"/>
      <c r="Y77" s="89"/>
      <c r="Z77" s="99"/>
    </row>
    <row r="78" spans="1:26" ht="27" customHeight="1" x14ac:dyDescent="0.25">
      <c r="A78" s="286">
        <f t="shared" si="3"/>
        <v>11</v>
      </c>
      <c r="B78" s="643" t="s">
        <v>483</v>
      </c>
      <c r="C78" s="643"/>
      <c r="D78" s="81"/>
      <c r="E78" s="81"/>
      <c r="F78" s="81" t="s">
        <v>476</v>
      </c>
      <c r="G78" s="79">
        <v>70</v>
      </c>
      <c r="H78" s="261">
        <v>2</v>
      </c>
      <c r="I78" s="79">
        <v>0.1</v>
      </c>
      <c r="J78" s="79">
        <f t="shared" si="2"/>
        <v>14</v>
      </c>
      <c r="K78" s="79" t="s">
        <v>581</v>
      </c>
      <c r="L78" s="79">
        <v>2019</v>
      </c>
      <c r="M78" s="81"/>
      <c r="N78" s="81"/>
      <c r="O78" s="81"/>
      <c r="P78" s="246" t="s">
        <v>585</v>
      </c>
      <c r="Q78" s="265">
        <v>19475100</v>
      </c>
      <c r="R78" s="79" t="s">
        <v>228</v>
      </c>
      <c r="S78" s="81"/>
      <c r="T78" s="103" t="s">
        <v>38</v>
      </c>
      <c r="U78" s="89"/>
      <c r="V78" s="100"/>
      <c r="X78" s="89"/>
      <c r="Y78" s="89"/>
      <c r="Z78" s="99"/>
    </row>
    <row r="79" spans="1:26" ht="27" customHeight="1" x14ac:dyDescent="0.25">
      <c r="A79" s="286">
        <f t="shared" si="3"/>
        <v>12</v>
      </c>
      <c r="B79" s="643" t="s">
        <v>480</v>
      </c>
      <c r="C79" s="643"/>
      <c r="D79" s="81"/>
      <c r="E79" s="81"/>
      <c r="F79" s="81" t="s">
        <v>476</v>
      </c>
      <c r="G79" s="79">
        <v>28</v>
      </c>
      <c r="H79" s="261">
        <v>4</v>
      </c>
      <c r="I79" s="261" t="s">
        <v>601</v>
      </c>
      <c r="J79" s="79" t="e">
        <f>G79*H79*I79</f>
        <v>#VALUE!</v>
      </c>
      <c r="K79" s="80" t="s">
        <v>502</v>
      </c>
      <c r="L79" s="79">
        <v>2019</v>
      </c>
      <c r="M79" s="81"/>
      <c r="N79" s="81"/>
      <c r="O79" s="81"/>
      <c r="P79" s="262" t="s">
        <v>586</v>
      </c>
      <c r="Q79" s="265">
        <v>12722500</v>
      </c>
      <c r="R79" s="79" t="s">
        <v>228</v>
      </c>
      <c r="S79" s="81"/>
      <c r="T79" s="103" t="s">
        <v>38</v>
      </c>
      <c r="U79" s="89"/>
      <c r="V79" s="97"/>
      <c r="X79" s="89"/>
      <c r="Y79" s="89"/>
      <c r="Z79" s="99"/>
    </row>
    <row r="80" spans="1:26" ht="27" customHeight="1" x14ac:dyDescent="0.25">
      <c r="A80" s="286">
        <f t="shared" si="3"/>
        <v>13</v>
      </c>
      <c r="B80" s="643" t="s">
        <v>484</v>
      </c>
      <c r="C80" s="643"/>
      <c r="D80" s="81"/>
      <c r="E80" s="81"/>
      <c r="F80" s="81" t="s">
        <v>476</v>
      </c>
      <c r="G80" s="79">
        <v>64</v>
      </c>
      <c r="H80" s="261">
        <v>2</v>
      </c>
      <c r="I80" s="261">
        <v>0.1</v>
      </c>
      <c r="J80" s="79">
        <f t="shared" si="2"/>
        <v>12.8</v>
      </c>
      <c r="K80" s="79" t="s">
        <v>285</v>
      </c>
      <c r="L80" s="79">
        <v>2019</v>
      </c>
      <c r="M80" s="81"/>
      <c r="N80" s="81"/>
      <c r="O80" s="81"/>
      <c r="P80" s="264" t="s">
        <v>586</v>
      </c>
      <c r="Q80" s="265">
        <v>14150175</v>
      </c>
      <c r="R80" s="79" t="s">
        <v>228</v>
      </c>
      <c r="S80" s="81"/>
      <c r="T80" s="103" t="s">
        <v>38</v>
      </c>
      <c r="U80" s="89"/>
      <c r="V80" s="89"/>
      <c r="X80" s="89"/>
      <c r="Y80" s="89"/>
      <c r="Z80" s="89"/>
    </row>
    <row r="81" spans="1:26" x14ac:dyDescent="0.25">
      <c r="A81" s="286">
        <f t="shared" si="3"/>
        <v>14</v>
      </c>
      <c r="B81" s="643" t="s">
        <v>503</v>
      </c>
      <c r="C81" s="643"/>
      <c r="D81" s="81"/>
      <c r="E81" s="81"/>
      <c r="F81" s="81" t="s">
        <v>476</v>
      </c>
      <c r="G81" s="79">
        <v>295</v>
      </c>
      <c r="H81" s="261">
        <v>2.5</v>
      </c>
      <c r="I81" s="79">
        <v>0.03</v>
      </c>
      <c r="J81" s="79">
        <f t="shared" si="2"/>
        <v>22.125</v>
      </c>
      <c r="K81" s="79" t="s">
        <v>296</v>
      </c>
      <c r="L81" s="79">
        <v>2019</v>
      </c>
      <c r="M81" s="81"/>
      <c r="N81" s="81"/>
      <c r="O81" s="81"/>
      <c r="P81" s="246" t="s">
        <v>585</v>
      </c>
      <c r="Q81" s="265">
        <v>60627000</v>
      </c>
      <c r="R81" s="79" t="s">
        <v>228</v>
      </c>
      <c r="S81" s="81"/>
      <c r="T81" s="103" t="s">
        <v>38</v>
      </c>
      <c r="X81" s="89"/>
      <c r="Y81" s="89"/>
      <c r="Z81" s="89"/>
    </row>
    <row r="82" spans="1:26" ht="15.75" customHeight="1" x14ac:dyDescent="0.25">
      <c r="A82" s="286">
        <f t="shared" si="3"/>
        <v>15</v>
      </c>
      <c r="B82" s="635" t="s">
        <v>504</v>
      </c>
      <c r="C82" s="636"/>
      <c r="D82" s="81"/>
      <c r="E82" s="81"/>
      <c r="F82" s="81" t="s">
        <v>476</v>
      </c>
      <c r="G82" s="79">
        <v>120</v>
      </c>
      <c r="H82" s="261">
        <v>0.35</v>
      </c>
      <c r="I82" s="79">
        <v>1.1599999999999999</v>
      </c>
      <c r="J82" s="79">
        <f t="shared" si="2"/>
        <v>48.72</v>
      </c>
      <c r="K82" s="79" t="s">
        <v>505</v>
      </c>
      <c r="L82" s="79">
        <v>2019</v>
      </c>
      <c r="M82" s="81"/>
      <c r="N82" s="81"/>
      <c r="O82" s="81"/>
      <c r="P82" s="246" t="s">
        <v>585</v>
      </c>
      <c r="Q82" s="265">
        <v>58303000</v>
      </c>
      <c r="R82" s="79" t="s">
        <v>228</v>
      </c>
      <c r="S82" s="81"/>
      <c r="T82" s="103" t="s">
        <v>38</v>
      </c>
      <c r="U82" s="89"/>
      <c r="V82" s="89"/>
      <c r="W82" s="89"/>
      <c r="X82" s="89"/>
      <c r="Y82" s="89"/>
      <c r="Z82" s="89"/>
    </row>
    <row r="83" spans="1:26" ht="15.75" customHeight="1" x14ac:dyDescent="0.25">
      <c r="A83" s="286">
        <f t="shared" si="3"/>
        <v>16</v>
      </c>
      <c r="B83" s="635" t="s">
        <v>506</v>
      </c>
      <c r="C83" s="636"/>
      <c r="D83" s="81"/>
      <c r="E83" s="81"/>
      <c r="F83" s="81" t="s">
        <v>476</v>
      </c>
      <c r="G83" s="79">
        <v>6</v>
      </c>
      <c r="H83" s="261">
        <v>0.45</v>
      </c>
      <c r="I83" s="79">
        <v>0.7</v>
      </c>
      <c r="J83" s="79">
        <f t="shared" si="2"/>
        <v>1.89</v>
      </c>
      <c r="K83" s="79" t="s">
        <v>290</v>
      </c>
      <c r="L83" s="79">
        <v>2019</v>
      </c>
      <c r="M83" s="81"/>
      <c r="N83" s="81"/>
      <c r="O83" s="81"/>
      <c r="P83" s="262" t="s">
        <v>586</v>
      </c>
      <c r="Q83" s="265">
        <v>3491700</v>
      </c>
      <c r="R83" s="79" t="s">
        <v>228</v>
      </c>
      <c r="S83" s="81"/>
      <c r="T83" s="103" t="s">
        <v>38</v>
      </c>
      <c r="U83" s="89"/>
      <c r="V83" s="89"/>
      <c r="W83" s="89"/>
      <c r="X83" s="89"/>
      <c r="Y83" s="89"/>
      <c r="Z83" s="89"/>
    </row>
    <row r="84" spans="1:26" ht="24.75" customHeight="1" x14ac:dyDescent="0.25">
      <c r="A84" s="286">
        <f t="shared" si="3"/>
        <v>17</v>
      </c>
      <c r="B84" s="635" t="s">
        <v>602</v>
      </c>
      <c r="C84" s="636"/>
      <c r="D84" s="81"/>
      <c r="E84" s="81"/>
      <c r="F84" s="81" t="s">
        <v>476</v>
      </c>
      <c r="G84" s="236"/>
      <c r="H84" s="237"/>
      <c r="I84" s="236"/>
      <c r="J84" s="236"/>
      <c r="K84" s="79" t="s">
        <v>604</v>
      </c>
      <c r="L84" s="79">
        <v>2019</v>
      </c>
      <c r="M84" s="81"/>
      <c r="N84" s="81"/>
      <c r="O84" s="81"/>
      <c r="P84" s="246" t="s">
        <v>586</v>
      </c>
      <c r="Q84" s="265">
        <v>8837500</v>
      </c>
      <c r="R84" s="79" t="s">
        <v>228</v>
      </c>
      <c r="S84" s="81"/>
      <c r="T84" s="371" t="s">
        <v>38</v>
      </c>
      <c r="U84" s="89"/>
      <c r="V84" s="89"/>
      <c r="W84" s="89"/>
      <c r="X84" s="89"/>
      <c r="Y84" s="89"/>
      <c r="Z84" s="89"/>
    </row>
    <row r="85" spans="1:26" ht="31.5" customHeight="1" x14ac:dyDescent="0.25">
      <c r="A85" s="245">
        <v>18</v>
      </c>
      <c r="B85" s="637" t="s">
        <v>603</v>
      </c>
      <c r="C85" s="638"/>
      <c r="D85" s="81"/>
      <c r="E85" s="81"/>
      <c r="F85" s="81" t="s">
        <v>476</v>
      </c>
      <c r="G85" s="239"/>
      <c r="H85" s="240"/>
      <c r="I85" s="239"/>
      <c r="J85" s="247"/>
      <c r="K85" s="79" t="s">
        <v>604</v>
      </c>
      <c r="L85" s="79">
        <v>2019</v>
      </c>
      <c r="M85" s="81"/>
      <c r="N85" s="81"/>
      <c r="O85" s="81"/>
      <c r="P85" s="246" t="s">
        <v>586</v>
      </c>
      <c r="Q85" s="301">
        <v>22340000</v>
      </c>
      <c r="R85" s="79" t="s">
        <v>228</v>
      </c>
      <c r="S85" s="81"/>
      <c r="T85" s="327" t="s">
        <v>38</v>
      </c>
      <c r="U85" s="89"/>
      <c r="V85" s="89"/>
      <c r="W85" s="89"/>
      <c r="X85" s="89"/>
      <c r="Y85" s="89"/>
      <c r="Z85" s="89"/>
    </row>
    <row r="86" spans="1:26" ht="15.75" customHeight="1" x14ac:dyDescent="0.25">
      <c r="A86" s="245"/>
      <c r="B86" s="243"/>
      <c r="C86" s="244"/>
      <c r="D86" s="81"/>
      <c r="E86" s="81"/>
      <c r="F86" s="81"/>
      <c r="G86" s="239"/>
      <c r="H86" s="240"/>
      <c r="I86" s="239"/>
      <c r="J86" s="247"/>
      <c r="K86" s="79"/>
      <c r="L86" s="79"/>
      <c r="M86" s="81"/>
      <c r="N86" s="81"/>
      <c r="O86" s="81"/>
      <c r="P86" s="246"/>
      <c r="Q86" s="242"/>
      <c r="R86" s="79"/>
      <c r="S86" s="81"/>
      <c r="T86" s="103"/>
      <c r="U86" s="89"/>
      <c r="V86" s="89"/>
      <c r="W86" s="89"/>
      <c r="X86" s="89"/>
      <c r="Y86" s="89"/>
      <c r="Z86" s="89"/>
    </row>
    <row r="87" spans="1:26" ht="15.75" customHeight="1" x14ac:dyDescent="0.25">
      <c r="A87" s="245"/>
      <c r="B87" s="243"/>
      <c r="C87" s="244"/>
      <c r="D87" s="81"/>
      <c r="E87" s="81"/>
      <c r="F87" s="81"/>
      <c r="G87" s="239"/>
      <c r="H87" s="240"/>
      <c r="I87" s="239"/>
      <c r="J87" s="247"/>
      <c r="K87" s="79"/>
      <c r="L87" s="79"/>
      <c r="M87" s="81"/>
      <c r="N87" s="81"/>
      <c r="O87" s="81"/>
      <c r="P87" s="246"/>
      <c r="Q87" s="242"/>
      <c r="R87" s="79"/>
      <c r="S87" s="81"/>
      <c r="T87" s="103"/>
      <c r="U87" s="98"/>
      <c r="V87" s="89"/>
      <c r="W87" s="89"/>
      <c r="X87" s="89"/>
      <c r="Y87" s="89"/>
      <c r="Z87" s="89"/>
    </row>
    <row r="88" spans="1:26" ht="15.75" customHeight="1" x14ac:dyDescent="0.25">
      <c r="A88" s="245"/>
      <c r="B88" s="243"/>
      <c r="C88" s="244"/>
      <c r="D88" s="81"/>
      <c r="E88" s="81"/>
      <c r="F88" s="81"/>
      <c r="G88" s="239"/>
      <c r="H88" s="240"/>
      <c r="I88" s="239"/>
      <c r="J88" s="247"/>
      <c r="K88" s="79"/>
      <c r="L88" s="79"/>
      <c r="M88" s="81"/>
      <c r="N88" s="81"/>
      <c r="O88" s="81"/>
      <c r="P88" s="246"/>
      <c r="Q88" s="242"/>
      <c r="R88" s="79"/>
      <c r="S88" s="81"/>
      <c r="T88" s="103"/>
      <c r="U88" s="98"/>
      <c r="V88" s="89"/>
      <c r="W88" s="101"/>
      <c r="X88" s="89"/>
      <c r="Y88" s="89"/>
      <c r="Z88" s="89"/>
    </row>
    <row r="89" spans="1:26" x14ac:dyDescent="0.25">
      <c r="A89" s="78"/>
      <c r="B89" s="84" t="s">
        <v>298</v>
      </c>
      <c r="C89" s="84"/>
      <c r="D89" s="81"/>
      <c r="E89" s="81"/>
      <c r="F89" s="81"/>
      <c r="G89" s="239"/>
      <c r="H89" s="240"/>
      <c r="I89" s="239"/>
      <c r="J89" s="247"/>
      <c r="K89" s="79"/>
      <c r="L89" s="79"/>
      <c r="M89" s="81"/>
      <c r="N89" s="81"/>
      <c r="O89" s="81"/>
      <c r="P89" s="246"/>
      <c r="Q89" s="234"/>
      <c r="R89" s="253">
        <v>0</v>
      </c>
      <c r="S89" s="81"/>
      <c r="T89" s="103"/>
      <c r="U89" s="101"/>
      <c r="V89" s="89"/>
      <c r="W89" s="89"/>
      <c r="X89" s="89"/>
      <c r="Y89" s="89"/>
      <c r="Z89" s="89"/>
    </row>
    <row r="90" spans="1:26" x14ac:dyDescent="0.25">
      <c r="A90" s="82"/>
      <c r="B90" s="639" t="s">
        <v>195</v>
      </c>
      <c r="C90" s="639"/>
      <c r="D90" s="83"/>
      <c r="E90" s="83"/>
      <c r="F90" s="83"/>
      <c r="G90" s="241"/>
      <c r="H90" s="241"/>
      <c r="I90" s="241"/>
      <c r="J90" s="258"/>
      <c r="K90" s="83"/>
      <c r="L90" s="83"/>
      <c r="M90" s="83"/>
      <c r="N90" s="83"/>
      <c r="O90" s="83"/>
      <c r="P90" s="254"/>
      <c r="Q90" s="296">
        <f>SUM(Q68:Q89)</f>
        <v>995988800</v>
      </c>
      <c r="R90" s="254"/>
      <c r="S90" s="85"/>
      <c r="T90" s="103"/>
      <c r="U90" s="99"/>
      <c r="V90" s="89"/>
      <c r="W90" s="95"/>
      <c r="X90" s="89"/>
      <c r="Y90" s="89"/>
      <c r="Z90" s="89"/>
    </row>
    <row r="91" spans="1:26" x14ac:dyDescent="0.25">
      <c r="A91" s="334"/>
      <c r="B91" s="632" t="s">
        <v>266</v>
      </c>
      <c r="C91" s="634"/>
      <c r="D91" s="335"/>
      <c r="E91" s="335"/>
      <c r="F91" s="335"/>
      <c r="G91" s="336"/>
      <c r="H91" s="336"/>
      <c r="I91" s="336"/>
      <c r="J91" s="337"/>
      <c r="K91" s="335"/>
      <c r="L91" s="335"/>
      <c r="M91" s="335"/>
      <c r="N91" s="335"/>
      <c r="O91" s="335"/>
      <c r="P91" s="338"/>
      <c r="Q91" s="339">
        <f>Q65+Q90</f>
        <v>3046377222</v>
      </c>
      <c r="R91" s="338"/>
      <c r="S91" s="319"/>
      <c r="T91" s="103"/>
      <c r="U91" s="89"/>
      <c r="V91" s="101"/>
      <c r="W91" s="95"/>
      <c r="X91" s="89"/>
      <c r="Y91" s="89"/>
      <c r="Z91" s="89"/>
    </row>
    <row r="92" spans="1:26" x14ac:dyDescent="0.25">
      <c r="A92" s="320"/>
      <c r="B92" s="320"/>
      <c r="C92" s="320"/>
      <c r="D92" s="293"/>
      <c r="E92" s="293"/>
      <c r="F92" s="293"/>
      <c r="G92" s="321"/>
      <c r="H92" s="321"/>
      <c r="I92" s="321"/>
      <c r="J92" s="322"/>
      <c r="K92" s="293"/>
      <c r="L92" s="293"/>
      <c r="M92" s="293"/>
      <c r="N92" s="293"/>
      <c r="O92" s="293"/>
      <c r="P92" s="323"/>
      <c r="Q92" s="324"/>
      <c r="R92" s="323"/>
      <c r="S92" s="325"/>
      <c r="T92" s="291"/>
      <c r="U92" s="89"/>
      <c r="V92" s="89"/>
      <c r="W92" s="95"/>
      <c r="X92" s="89"/>
      <c r="Y92" s="89"/>
      <c r="Z92" s="89"/>
    </row>
    <row r="93" spans="1:26" ht="15.75" x14ac:dyDescent="0.25">
      <c r="A93" s="579" t="s">
        <v>606</v>
      </c>
      <c r="B93" s="579"/>
      <c r="C93" s="579"/>
      <c r="D93" s="579"/>
      <c r="E93" s="579"/>
      <c r="F93" s="579"/>
      <c r="G93" s="579"/>
      <c r="H93" s="579"/>
      <c r="I93" s="579"/>
      <c r="J93" s="579"/>
      <c r="K93" s="579"/>
      <c r="L93" s="579"/>
      <c r="M93" s="579"/>
      <c r="N93" s="579"/>
      <c r="O93" s="579"/>
      <c r="P93" s="579"/>
      <c r="Q93" s="579"/>
      <c r="R93" s="579"/>
      <c r="S93" s="438"/>
      <c r="T93" s="102"/>
      <c r="U93" s="89"/>
      <c r="V93" s="93"/>
      <c r="W93" s="94"/>
      <c r="X93" s="89"/>
      <c r="Y93" s="89"/>
      <c r="Z93" s="89"/>
    </row>
    <row r="94" spans="1:26" ht="40.5" customHeight="1" x14ac:dyDescent="0.25">
      <c r="A94" s="305">
        <v>1</v>
      </c>
      <c r="B94" s="635" t="s">
        <v>613</v>
      </c>
      <c r="C94" s="636"/>
      <c r="D94" s="81"/>
      <c r="E94" s="81"/>
      <c r="F94" s="304" t="s">
        <v>476</v>
      </c>
      <c r="G94" s="79">
        <v>175</v>
      </c>
      <c r="H94" s="79">
        <v>2.5</v>
      </c>
      <c r="I94" s="79">
        <v>0.1</v>
      </c>
      <c r="J94" s="79">
        <f>G94*H94*I94</f>
        <v>43.75</v>
      </c>
      <c r="K94" s="80" t="s">
        <v>295</v>
      </c>
      <c r="L94" s="79">
        <v>2020</v>
      </c>
      <c r="M94" s="81"/>
      <c r="N94" s="81"/>
      <c r="O94" s="81"/>
      <c r="P94" s="304" t="s">
        <v>585</v>
      </c>
      <c r="Q94" s="326">
        <v>52418550</v>
      </c>
      <c r="R94" s="79" t="s">
        <v>228</v>
      </c>
      <c r="S94" s="81"/>
      <c r="T94" s="327" t="s">
        <v>38</v>
      </c>
      <c r="U94" s="89"/>
      <c r="V94" s="93"/>
      <c r="W94" s="94"/>
      <c r="X94" s="89"/>
      <c r="Y94" s="89"/>
      <c r="Z94" s="92"/>
    </row>
    <row r="95" spans="1:26" ht="48.75" customHeight="1" x14ac:dyDescent="0.25">
      <c r="A95" s="305">
        <v>2</v>
      </c>
      <c r="B95" s="635" t="s">
        <v>614</v>
      </c>
      <c r="C95" s="636"/>
      <c r="D95" s="81"/>
      <c r="E95" s="81"/>
      <c r="F95" s="304" t="s">
        <v>476</v>
      </c>
      <c r="G95" s="79">
        <v>178</v>
      </c>
      <c r="H95" s="79">
        <v>2.5</v>
      </c>
      <c r="I95" s="79">
        <v>0.1</v>
      </c>
      <c r="J95" s="79">
        <f t="shared" ref="J95:J104" si="4">G95*H95*I95</f>
        <v>44.5</v>
      </c>
      <c r="K95" s="80" t="s">
        <v>297</v>
      </c>
      <c r="L95" s="79">
        <v>2020</v>
      </c>
      <c r="M95" s="81"/>
      <c r="N95" s="81"/>
      <c r="O95" s="81"/>
      <c r="P95" s="304" t="s">
        <v>585</v>
      </c>
      <c r="Q95" s="328">
        <v>51706475</v>
      </c>
      <c r="R95" s="79" t="s">
        <v>228</v>
      </c>
      <c r="S95" s="81"/>
      <c r="T95" s="327" t="s">
        <v>38</v>
      </c>
      <c r="U95" s="298"/>
      <c r="V95" s="93"/>
      <c r="W95" s="94"/>
      <c r="X95" s="89"/>
      <c r="Y95" s="89"/>
      <c r="Z95" s="92"/>
    </row>
    <row r="96" spans="1:26" ht="41.25" customHeight="1" x14ac:dyDescent="0.25">
      <c r="A96" s="305">
        <f t="shared" ref="A96:A104" si="5">A95+1</f>
        <v>3</v>
      </c>
      <c r="B96" s="635" t="s">
        <v>615</v>
      </c>
      <c r="C96" s="636"/>
      <c r="D96" s="81"/>
      <c r="E96" s="81"/>
      <c r="F96" s="304" t="s">
        <v>476</v>
      </c>
      <c r="G96" s="79">
        <v>198</v>
      </c>
      <c r="H96" s="79">
        <v>2.5</v>
      </c>
      <c r="I96" s="79">
        <v>0.1</v>
      </c>
      <c r="J96" s="79">
        <f t="shared" si="4"/>
        <v>49.5</v>
      </c>
      <c r="K96" s="79" t="s">
        <v>293</v>
      </c>
      <c r="L96" s="79">
        <v>2020</v>
      </c>
      <c r="M96" s="81"/>
      <c r="N96" s="81"/>
      <c r="O96" s="81"/>
      <c r="P96" s="304" t="s">
        <v>585</v>
      </c>
      <c r="Q96" s="328">
        <v>46085100</v>
      </c>
      <c r="R96" s="79" t="s">
        <v>228</v>
      </c>
      <c r="S96" s="81"/>
      <c r="T96" s="327" t="s">
        <v>38</v>
      </c>
      <c r="U96" s="298"/>
      <c r="V96" s="93"/>
      <c r="W96" s="94"/>
      <c r="X96" s="89"/>
      <c r="Y96" s="89"/>
      <c r="Z96" s="92"/>
    </row>
    <row r="97" spans="1:26" ht="45" customHeight="1" x14ac:dyDescent="0.25">
      <c r="A97" s="305">
        <f t="shared" si="5"/>
        <v>4</v>
      </c>
      <c r="B97" s="635" t="s">
        <v>616</v>
      </c>
      <c r="C97" s="636"/>
      <c r="D97" s="81"/>
      <c r="E97" s="81"/>
      <c r="F97" s="304" t="s">
        <v>476</v>
      </c>
      <c r="G97" s="79">
        <v>264</v>
      </c>
      <c r="H97" s="79">
        <v>3</v>
      </c>
      <c r="I97" s="79">
        <v>0.1</v>
      </c>
      <c r="J97" s="79">
        <f t="shared" si="4"/>
        <v>79.2</v>
      </c>
      <c r="K97" s="79" t="s">
        <v>482</v>
      </c>
      <c r="L97" s="79">
        <v>2020</v>
      </c>
      <c r="M97" s="81"/>
      <c r="N97" s="81"/>
      <c r="O97" s="81"/>
      <c r="P97" s="304" t="s">
        <v>585</v>
      </c>
      <c r="Q97" s="328">
        <v>96287500</v>
      </c>
      <c r="R97" s="79" t="s">
        <v>228</v>
      </c>
      <c r="S97" s="81"/>
      <c r="T97" s="327" t="s">
        <v>38</v>
      </c>
      <c r="U97" s="298"/>
      <c r="V97" s="93"/>
      <c r="W97" s="94"/>
      <c r="X97" s="89"/>
      <c r="Y97" s="89"/>
      <c r="Z97" s="92"/>
    </row>
    <row r="98" spans="1:26" ht="48" customHeight="1" x14ac:dyDescent="0.25">
      <c r="A98" s="305">
        <f t="shared" si="5"/>
        <v>5</v>
      </c>
      <c r="B98" s="635" t="s">
        <v>617</v>
      </c>
      <c r="C98" s="636"/>
      <c r="D98" s="81"/>
      <c r="E98" s="81"/>
      <c r="F98" s="304" t="s">
        <v>476</v>
      </c>
      <c r="G98" s="79">
        <v>39</v>
      </c>
      <c r="H98" s="79">
        <v>2.5</v>
      </c>
      <c r="I98" s="79">
        <v>0.1</v>
      </c>
      <c r="J98" s="79">
        <f t="shared" si="4"/>
        <v>9.75</v>
      </c>
      <c r="K98" s="79" t="s">
        <v>294</v>
      </c>
      <c r="L98" s="79">
        <v>2020</v>
      </c>
      <c r="M98" s="81"/>
      <c r="N98" s="81"/>
      <c r="O98" s="81"/>
      <c r="P98" s="304" t="s">
        <v>585</v>
      </c>
      <c r="Q98" s="329">
        <v>12125300</v>
      </c>
      <c r="R98" s="79" t="s">
        <v>228</v>
      </c>
      <c r="S98" s="81"/>
      <c r="T98" s="327" t="s">
        <v>38</v>
      </c>
      <c r="U98" s="298"/>
      <c r="V98" s="93"/>
      <c r="W98" s="94"/>
      <c r="X98" s="89"/>
      <c r="Y98" s="89"/>
      <c r="Z98" s="92"/>
    </row>
    <row r="99" spans="1:26" ht="42" customHeight="1" x14ac:dyDescent="0.25">
      <c r="A99" s="305">
        <f t="shared" si="5"/>
        <v>6</v>
      </c>
      <c r="B99" s="635" t="s">
        <v>618</v>
      </c>
      <c r="C99" s="636"/>
      <c r="D99" s="81"/>
      <c r="E99" s="81"/>
      <c r="F99" s="304" t="s">
        <v>476</v>
      </c>
      <c r="G99" s="79">
        <v>83.5</v>
      </c>
      <c r="H99" s="79">
        <v>1.5</v>
      </c>
      <c r="I99" s="79">
        <v>0.1</v>
      </c>
      <c r="J99" s="79">
        <f t="shared" si="4"/>
        <v>12.525</v>
      </c>
      <c r="K99" s="79" t="s">
        <v>294</v>
      </c>
      <c r="L99" s="79">
        <v>2020</v>
      </c>
      <c r="M99" s="81"/>
      <c r="N99" s="81"/>
      <c r="O99" s="81"/>
      <c r="P99" s="304" t="s">
        <v>585</v>
      </c>
      <c r="Q99" s="330">
        <v>15172475</v>
      </c>
      <c r="R99" s="79" t="s">
        <v>228</v>
      </c>
      <c r="S99" s="81"/>
      <c r="T99" s="327" t="s">
        <v>38</v>
      </c>
      <c r="U99" s="372"/>
      <c r="V99" s="434"/>
      <c r="W99" s="94"/>
      <c r="X99" s="89"/>
      <c r="Y99" s="89"/>
      <c r="Z99" s="92"/>
    </row>
    <row r="100" spans="1:26" ht="52.5" customHeight="1" x14ac:dyDescent="0.25">
      <c r="A100" s="305">
        <f t="shared" si="5"/>
        <v>7</v>
      </c>
      <c r="B100" s="635" t="s">
        <v>619</v>
      </c>
      <c r="C100" s="636"/>
      <c r="D100" s="81"/>
      <c r="E100" s="81"/>
      <c r="F100" s="304" t="s">
        <v>476</v>
      </c>
      <c r="G100" s="79">
        <v>110</v>
      </c>
      <c r="H100" s="79">
        <v>0.3</v>
      </c>
      <c r="I100" s="79">
        <v>1.2</v>
      </c>
      <c r="J100" s="79">
        <f t="shared" si="4"/>
        <v>39.6</v>
      </c>
      <c r="K100" s="79" t="s">
        <v>287</v>
      </c>
      <c r="L100" s="79">
        <v>2020</v>
      </c>
      <c r="M100" s="81"/>
      <c r="N100" s="81"/>
      <c r="O100" s="81"/>
      <c r="P100" s="304" t="s">
        <v>585</v>
      </c>
      <c r="Q100" s="331">
        <v>49745000</v>
      </c>
      <c r="R100" s="79" t="s">
        <v>228</v>
      </c>
      <c r="S100" s="81"/>
      <c r="T100" s="327" t="s">
        <v>38</v>
      </c>
      <c r="U100" s="372"/>
      <c r="V100" s="434"/>
      <c r="W100" s="94"/>
      <c r="X100" s="89"/>
      <c r="Y100" s="89"/>
      <c r="Z100" s="92"/>
    </row>
    <row r="101" spans="1:26" ht="42" customHeight="1" x14ac:dyDescent="0.25">
      <c r="A101" s="305">
        <f t="shared" si="5"/>
        <v>8</v>
      </c>
      <c r="B101" s="635" t="s">
        <v>620</v>
      </c>
      <c r="C101" s="636"/>
      <c r="D101" s="81"/>
      <c r="E101" s="81"/>
      <c r="F101" s="304" t="s">
        <v>476</v>
      </c>
      <c r="G101" s="79">
        <v>110</v>
      </c>
      <c r="H101" s="79">
        <v>0.3</v>
      </c>
      <c r="I101" s="79">
        <v>0.6</v>
      </c>
      <c r="J101" s="79">
        <f t="shared" si="4"/>
        <v>19.8</v>
      </c>
      <c r="K101" s="80" t="s">
        <v>621</v>
      </c>
      <c r="L101" s="79">
        <v>2020</v>
      </c>
      <c r="M101" s="81"/>
      <c r="N101" s="81"/>
      <c r="O101" s="81"/>
      <c r="P101" s="304" t="s">
        <v>585</v>
      </c>
      <c r="Q101" s="332">
        <v>32965000</v>
      </c>
      <c r="R101" s="79" t="s">
        <v>228</v>
      </c>
      <c r="S101" s="81"/>
      <c r="T101" s="327" t="s">
        <v>38</v>
      </c>
      <c r="U101" s="89"/>
      <c r="V101" s="95"/>
      <c r="W101" s="96"/>
      <c r="X101" s="89"/>
      <c r="Y101" s="89"/>
      <c r="Z101" s="92"/>
    </row>
    <row r="102" spans="1:26" ht="39.75" customHeight="1" x14ac:dyDescent="0.25">
      <c r="A102" s="305">
        <f t="shared" si="5"/>
        <v>9</v>
      </c>
      <c r="B102" s="643" t="s">
        <v>622</v>
      </c>
      <c r="C102" s="643"/>
      <c r="D102" s="81"/>
      <c r="E102" s="81"/>
      <c r="F102" s="304" t="s">
        <v>476</v>
      </c>
      <c r="G102" s="79">
        <v>26</v>
      </c>
      <c r="H102" s="261">
        <v>0.3</v>
      </c>
      <c r="I102" s="261">
        <v>1.7</v>
      </c>
      <c r="J102" s="79">
        <f t="shared" si="4"/>
        <v>13.26</v>
      </c>
      <c r="K102" s="80" t="s">
        <v>285</v>
      </c>
      <c r="L102" s="79">
        <v>2020</v>
      </c>
      <c r="M102" s="81"/>
      <c r="N102" s="81"/>
      <c r="O102" s="81"/>
      <c r="P102" s="304" t="s">
        <v>585</v>
      </c>
      <c r="Q102" s="333">
        <v>24848500</v>
      </c>
      <c r="R102" s="79" t="s">
        <v>228</v>
      </c>
      <c r="S102" s="81"/>
      <c r="T102" s="327" t="s">
        <v>38</v>
      </c>
      <c r="U102" s="89"/>
      <c r="V102" s="97"/>
      <c r="W102" s="98"/>
      <c r="X102" s="89"/>
      <c r="Y102" s="89"/>
      <c r="Z102" s="99"/>
    </row>
    <row r="103" spans="1:26" ht="54" customHeight="1" x14ac:dyDescent="0.25">
      <c r="A103" s="305">
        <f t="shared" si="5"/>
        <v>10</v>
      </c>
      <c r="B103" s="643" t="s">
        <v>623</v>
      </c>
      <c r="C103" s="643"/>
      <c r="D103" s="81"/>
      <c r="E103" s="81"/>
      <c r="F103" s="304" t="s">
        <v>476</v>
      </c>
      <c r="G103" s="79">
        <v>198</v>
      </c>
      <c r="H103" s="261">
        <v>0.3</v>
      </c>
      <c r="I103" s="79">
        <v>0.9</v>
      </c>
      <c r="J103" s="79">
        <f t="shared" si="4"/>
        <v>53.46</v>
      </c>
      <c r="K103" s="79" t="s">
        <v>478</v>
      </c>
      <c r="L103" s="79">
        <v>2020</v>
      </c>
      <c r="M103" s="81"/>
      <c r="N103" s="81"/>
      <c r="O103" s="81"/>
      <c r="P103" s="304" t="s">
        <v>585</v>
      </c>
      <c r="Q103" s="333">
        <v>78635250</v>
      </c>
      <c r="R103" s="79" t="s">
        <v>228</v>
      </c>
      <c r="S103" s="81"/>
      <c r="T103" s="327" t="s">
        <v>38</v>
      </c>
      <c r="U103" s="89"/>
      <c r="V103" s="97"/>
      <c r="W103" s="98"/>
      <c r="X103" s="89"/>
      <c r="Y103" s="89"/>
      <c r="Z103" s="99"/>
    </row>
    <row r="104" spans="1:26" ht="27" customHeight="1" x14ac:dyDescent="0.25">
      <c r="A104" s="305">
        <f t="shared" si="5"/>
        <v>11</v>
      </c>
      <c r="B104" s="643" t="s">
        <v>624</v>
      </c>
      <c r="C104" s="643"/>
      <c r="D104" s="81"/>
      <c r="E104" s="81"/>
      <c r="F104" s="304" t="s">
        <v>476</v>
      </c>
      <c r="G104" s="79">
        <v>70</v>
      </c>
      <c r="H104" s="261">
        <v>2</v>
      </c>
      <c r="I104" s="79">
        <v>0.1</v>
      </c>
      <c r="J104" s="79">
        <f t="shared" si="4"/>
        <v>14</v>
      </c>
      <c r="K104" s="79" t="s">
        <v>508</v>
      </c>
      <c r="L104" s="79">
        <v>2020</v>
      </c>
      <c r="M104" s="81"/>
      <c r="N104" s="81"/>
      <c r="O104" s="81"/>
      <c r="P104" s="304" t="s">
        <v>586</v>
      </c>
      <c r="Q104" s="265">
        <v>50000000</v>
      </c>
      <c r="R104" s="79" t="s">
        <v>228</v>
      </c>
      <c r="S104" s="81"/>
      <c r="T104" s="327" t="s">
        <v>38</v>
      </c>
      <c r="U104" s="89"/>
      <c r="V104" s="100"/>
      <c r="X104" s="89"/>
      <c r="Y104" s="89"/>
      <c r="Z104" s="99"/>
    </row>
    <row r="105" spans="1:26" x14ac:dyDescent="0.25">
      <c r="A105" s="305"/>
      <c r="B105" s="665"/>
      <c r="C105" s="667"/>
      <c r="D105" s="81"/>
      <c r="E105" s="81"/>
      <c r="F105" s="81"/>
      <c r="G105" s="239"/>
      <c r="H105" s="240"/>
      <c r="I105" s="239"/>
      <c r="J105" s="247"/>
      <c r="K105" s="79"/>
      <c r="L105" s="79"/>
      <c r="M105" s="81"/>
      <c r="N105" s="81"/>
      <c r="O105" s="81"/>
      <c r="P105" s="304"/>
      <c r="Q105" s="234"/>
      <c r="R105" s="253">
        <v>0</v>
      </c>
      <c r="S105" s="81"/>
      <c r="T105" s="103"/>
      <c r="U105" s="89"/>
      <c r="V105" s="89"/>
      <c r="W105" s="89"/>
      <c r="X105" s="89"/>
      <c r="Y105" s="89"/>
      <c r="Z105" s="89"/>
    </row>
    <row r="106" spans="1:26" x14ac:dyDescent="0.25">
      <c r="A106" s="341"/>
      <c r="B106" s="642" t="s">
        <v>195</v>
      </c>
      <c r="C106" s="642"/>
      <c r="D106" s="342"/>
      <c r="E106" s="342"/>
      <c r="F106" s="342"/>
      <c r="G106" s="343"/>
      <c r="H106" s="343"/>
      <c r="I106" s="343"/>
      <c r="J106" s="344"/>
      <c r="K106" s="342"/>
      <c r="L106" s="342"/>
      <c r="M106" s="342"/>
      <c r="N106" s="342"/>
      <c r="O106" s="342"/>
      <c r="P106" s="345"/>
      <c r="Q106" s="346">
        <f>SUM(Q94:Q105)</f>
        <v>509989150</v>
      </c>
      <c r="R106" s="345"/>
      <c r="S106" s="342"/>
      <c r="T106" s="103"/>
      <c r="W106" s="98"/>
      <c r="X106" s="89"/>
      <c r="Y106" s="89"/>
      <c r="Z106" s="89"/>
    </row>
    <row r="107" spans="1:26" ht="15.75" x14ac:dyDescent="0.25">
      <c r="A107" s="579" t="s">
        <v>636</v>
      </c>
      <c r="B107" s="579"/>
      <c r="C107" s="579"/>
      <c r="D107" s="579"/>
      <c r="E107" s="579"/>
      <c r="F107" s="579"/>
      <c r="G107" s="579"/>
      <c r="H107" s="579"/>
      <c r="I107" s="579"/>
      <c r="J107" s="579"/>
      <c r="K107" s="579"/>
      <c r="L107" s="579"/>
      <c r="M107" s="579"/>
      <c r="N107" s="579"/>
      <c r="O107" s="579"/>
      <c r="P107" s="579"/>
      <c r="Q107" s="579"/>
      <c r="R107" s="579"/>
      <c r="S107" s="408"/>
      <c r="T107" s="103"/>
      <c r="U107" s="89"/>
      <c r="V107" s="101"/>
      <c r="W107" s="95"/>
      <c r="X107" s="89"/>
      <c r="Y107" s="89"/>
      <c r="Z107" s="89"/>
    </row>
    <row r="108" spans="1:26" ht="27" customHeight="1" x14ac:dyDescent="0.25">
      <c r="A108" s="334">
        <v>1</v>
      </c>
      <c r="B108" s="640" t="s">
        <v>662</v>
      </c>
      <c r="C108" s="641"/>
      <c r="D108" s="335"/>
      <c r="E108" s="335"/>
      <c r="F108" s="335" t="s">
        <v>476</v>
      </c>
      <c r="G108" s="336"/>
      <c r="H108" s="336"/>
      <c r="I108" s="336"/>
      <c r="J108" s="411">
        <v>5</v>
      </c>
      <c r="K108" s="410" t="s">
        <v>641</v>
      </c>
      <c r="L108" s="411">
        <v>2021</v>
      </c>
      <c r="M108" s="335"/>
      <c r="N108" s="335"/>
      <c r="O108" s="335"/>
      <c r="P108" s="439" t="s">
        <v>585</v>
      </c>
      <c r="Q108" s="412">
        <v>6545000</v>
      </c>
      <c r="R108" s="338" t="s">
        <v>228</v>
      </c>
      <c r="S108" s="335"/>
      <c r="T108" s="103" t="s">
        <v>101</v>
      </c>
      <c r="U108" s="89"/>
      <c r="V108" s="101"/>
      <c r="W108" s="95"/>
      <c r="X108" s="89"/>
      <c r="Y108" s="89"/>
      <c r="Z108" s="89"/>
    </row>
    <row r="109" spans="1:26" ht="27" customHeight="1" x14ac:dyDescent="0.25">
      <c r="A109" s="334">
        <v>2</v>
      </c>
      <c r="B109" s="640" t="s">
        <v>642</v>
      </c>
      <c r="C109" s="641"/>
      <c r="D109" s="335"/>
      <c r="E109" s="335"/>
      <c r="F109" s="335" t="s">
        <v>476</v>
      </c>
      <c r="G109" s="335">
        <v>75</v>
      </c>
      <c r="H109" s="335"/>
      <c r="I109" s="335">
        <v>0.7</v>
      </c>
      <c r="J109" s="338">
        <v>33.299999999999997</v>
      </c>
      <c r="K109" s="335" t="s">
        <v>285</v>
      </c>
      <c r="L109" s="334">
        <v>2021</v>
      </c>
      <c r="M109" s="335"/>
      <c r="N109" s="335"/>
      <c r="O109" s="335"/>
      <c r="P109" s="338" t="s">
        <v>585</v>
      </c>
      <c r="Q109" s="409">
        <v>31458000</v>
      </c>
      <c r="R109" s="338" t="s">
        <v>228</v>
      </c>
      <c r="S109" s="335"/>
      <c r="T109" s="103" t="s">
        <v>38</v>
      </c>
      <c r="U109" s="89"/>
      <c r="V109" s="421"/>
      <c r="W109" s="95"/>
      <c r="X109" s="89"/>
      <c r="Y109" s="89"/>
      <c r="Z109" s="89"/>
    </row>
    <row r="110" spans="1:26" ht="54.75" customHeight="1" x14ac:dyDescent="0.25">
      <c r="A110" s="334">
        <v>3</v>
      </c>
      <c r="B110" s="640" t="s">
        <v>643</v>
      </c>
      <c r="C110" s="641"/>
      <c r="D110" s="335"/>
      <c r="E110" s="335"/>
      <c r="F110" s="335" t="s">
        <v>476</v>
      </c>
      <c r="G110" s="335">
        <v>94</v>
      </c>
      <c r="H110" s="335">
        <v>2.5</v>
      </c>
      <c r="I110" s="335">
        <v>0.12</v>
      </c>
      <c r="J110" s="414">
        <v>28.2</v>
      </c>
      <c r="K110" s="335" t="s">
        <v>478</v>
      </c>
      <c r="L110" s="334">
        <v>2021</v>
      </c>
      <c r="M110" s="335"/>
      <c r="N110" s="335"/>
      <c r="O110" s="335"/>
      <c r="P110" s="338" t="s">
        <v>585</v>
      </c>
      <c r="Q110" s="409">
        <v>30652500</v>
      </c>
      <c r="R110" s="338" t="s">
        <v>228</v>
      </c>
      <c r="S110" s="335"/>
      <c r="T110" s="103" t="s">
        <v>38</v>
      </c>
      <c r="U110" s="89"/>
      <c r="V110" s="422"/>
      <c r="W110" s="95"/>
      <c r="X110" s="89"/>
      <c r="Y110" s="89"/>
      <c r="Z110" s="89"/>
    </row>
    <row r="111" spans="1:26" ht="54.75" customHeight="1" x14ac:dyDescent="0.25">
      <c r="A111" s="334">
        <v>4</v>
      </c>
      <c r="B111" s="640" t="s">
        <v>666</v>
      </c>
      <c r="C111" s="641"/>
      <c r="D111" s="335"/>
      <c r="E111" s="335"/>
      <c r="F111" s="335" t="s">
        <v>476</v>
      </c>
      <c r="G111" s="335">
        <v>100</v>
      </c>
      <c r="H111" s="335">
        <v>2.5</v>
      </c>
      <c r="I111" s="335">
        <v>0.12</v>
      </c>
      <c r="J111" s="414">
        <v>30</v>
      </c>
      <c r="K111" s="335" t="s">
        <v>505</v>
      </c>
      <c r="L111" s="334">
        <v>2021</v>
      </c>
      <c r="M111" s="335"/>
      <c r="N111" s="335"/>
      <c r="O111" s="335"/>
      <c r="P111" s="338" t="s">
        <v>644</v>
      </c>
      <c r="Q111" s="409">
        <v>34004250</v>
      </c>
      <c r="R111" s="338" t="s">
        <v>228</v>
      </c>
      <c r="S111" s="335"/>
      <c r="T111" s="103" t="s">
        <v>38</v>
      </c>
      <c r="U111" s="89"/>
      <c r="V111" s="423"/>
      <c r="W111" s="95"/>
      <c r="X111" s="89"/>
      <c r="Y111" s="89"/>
      <c r="Z111" s="89"/>
    </row>
    <row r="112" spans="1:26" ht="54.75" customHeight="1" x14ac:dyDescent="0.25">
      <c r="A112" s="334">
        <v>5</v>
      </c>
      <c r="B112" s="640" t="s">
        <v>645</v>
      </c>
      <c r="C112" s="641"/>
      <c r="D112" s="335"/>
      <c r="E112" s="335"/>
      <c r="F112" s="335" t="s">
        <v>476</v>
      </c>
      <c r="G112" s="335">
        <v>56</v>
      </c>
      <c r="H112" s="335">
        <v>2.2000000000000002</v>
      </c>
      <c r="I112" s="335">
        <v>0.1</v>
      </c>
      <c r="J112" s="414">
        <v>12.32</v>
      </c>
      <c r="K112" s="335" t="s">
        <v>591</v>
      </c>
      <c r="L112" s="334">
        <v>2021</v>
      </c>
      <c r="M112" s="335"/>
      <c r="N112" s="335"/>
      <c r="O112" s="335"/>
      <c r="P112" s="338" t="s">
        <v>585</v>
      </c>
      <c r="Q112" s="409">
        <v>14040600</v>
      </c>
      <c r="R112" s="338" t="s">
        <v>228</v>
      </c>
      <c r="S112" s="335"/>
      <c r="T112" s="103" t="s">
        <v>38</v>
      </c>
      <c r="U112" s="89"/>
      <c r="V112" s="101"/>
      <c r="W112" s="95"/>
      <c r="X112" s="89"/>
      <c r="Y112" s="89"/>
      <c r="Z112" s="89"/>
    </row>
    <row r="113" spans="1:26" ht="54.75" customHeight="1" x14ac:dyDescent="0.25">
      <c r="A113" s="334">
        <v>6</v>
      </c>
      <c r="B113" s="640" t="s">
        <v>646</v>
      </c>
      <c r="C113" s="641"/>
      <c r="D113" s="335"/>
      <c r="E113" s="335"/>
      <c r="F113" s="335" t="s">
        <v>476</v>
      </c>
      <c r="G113" s="335">
        <v>76</v>
      </c>
      <c r="H113" s="335">
        <v>2.5</v>
      </c>
      <c r="I113" s="335">
        <v>0.12</v>
      </c>
      <c r="J113" s="414">
        <v>22.8</v>
      </c>
      <c r="K113" s="335" t="s">
        <v>293</v>
      </c>
      <c r="L113" s="334">
        <v>2021</v>
      </c>
      <c r="M113" s="335"/>
      <c r="N113" s="335"/>
      <c r="O113" s="335"/>
      <c r="P113" s="338" t="s">
        <v>585</v>
      </c>
      <c r="Q113" s="409">
        <v>21877500</v>
      </c>
      <c r="R113" s="338" t="s">
        <v>228</v>
      </c>
      <c r="S113" s="335"/>
      <c r="T113" s="103" t="s">
        <v>38</v>
      </c>
      <c r="U113" s="101"/>
      <c r="V113" s="101"/>
      <c r="W113" s="95"/>
      <c r="X113" s="89"/>
      <c r="Y113" s="89"/>
      <c r="Z113" s="89"/>
    </row>
    <row r="114" spans="1:26" ht="54.75" customHeight="1" x14ac:dyDescent="0.25">
      <c r="A114" s="334">
        <v>7</v>
      </c>
      <c r="B114" s="640" t="s">
        <v>647</v>
      </c>
      <c r="C114" s="641"/>
      <c r="D114" s="335"/>
      <c r="E114" s="335"/>
      <c r="F114" s="335" t="s">
        <v>476</v>
      </c>
      <c r="G114" s="335">
        <v>70</v>
      </c>
      <c r="H114" s="335">
        <v>2.5</v>
      </c>
      <c r="I114" s="335">
        <v>0.12</v>
      </c>
      <c r="J114" s="414">
        <v>21</v>
      </c>
      <c r="K114" s="335" t="s">
        <v>286</v>
      </c>
      <c r="L114" s="334">
        <v>2021</v>
      </c>
      <c r="M114" s="335"/>
      <c r="N114" s="335"/>
      <c r="O114" s="335"/>
      <c r="P114" s="338" t="s">
        <v>585</v>
      </c>
      <c r="Q114" s="409">
        <v>21976875</v>
      </c>
      <c r="R114" s="338" t="s">
        <v>228</v>
      </c>
      <c r="S114" s="335"/>
      <c r="T114" s="103" t="s">
        <v>38</v>
      </c>
      <c r="U114" s="101"/>
      <c r="V114" s="101"/>
      <c r="W114" s="95"/>
      <c r="X114" s="89"/>
      <c r="Y114" s="89"/>
      <c r="Z114" s="89"/>
    </row>
    <row r="115" spans="1:26" ht="54.75" customHeight="1" x14ac:dyDescent="0.25">
      <c r="A115" s="334">
        <v>8</v>
      </c>
      <c r="B115" s="640" t="s">
        <v>648</v>
      </c>
      <c r="C115" s="641"/>
      <c r="D115" s="335"/>
      <c r="E115" s="335"/>
      <c r="F115" s="335" t="s">
        <v>476</v>
      </c>
      <c r="G115" s="335">
        <v>170</v>
      </c>
      <c r="H115" s="335">
        <v>2.5</v>
      </c>
      <c r="I115" s="335">
        <v>0.12</v>
      </c>
      <c r="J115" s="414">
        <v>51</v>
      </c>
      <c r="K115" s="335" t="s">
        <v>591</v>
      </c>
      <c r="L115" s="334">
        <v>2021</v>
      </c>
      <c r="M115" s="335"/>
      <c r="N115" s="335"/>
      <c r="O115" s="335"/>
      <c r="P115" s="338" t="s">
        <v>585</v>
      </c>
      <c r="Q115" s="409">
        <v>55180625</v>
      </c>
      <c r="R115" s="338" t="s">
        <v>228</v>
      </c>
      <c r="S115" s="335"/>
      <c r="T115" s="103" t="s">
        <v>38</v>
      </c>
      <c r="U115" s="101"/>
      <c r="V115" s="101"/>
      <c r="W115" s="95"/>
      <c r="X115" s="89"/>
      <c r="Y115" s="89"/>
      <c r="Z115" s="89"/>
    </row>
    <row r="116" spans="1:26" ht="54.75" customHeight="1" x14ac:dyDescent="0.25">
      <c r="A116" s="334">
        <v>9</v>
      </c>
      <c r="B116" s="640" t="s">
        <v>649</v>
      </c>
      <c r="C116" s="641"/>
      <c r="D116" s="335"/>
      <c r="E116" s="335"/>
      <c r="F116" s="335" t="s">
        <v>476</v>
      </c>
      <c r="G116" s="335"/>
      <c r="H116" s="335"/>
      <c r="I116" s="335"/>
      <c r="J116" s="413"/>
      <c r="K116" s="335" t="s">
        <v>295</v>
      </c>
      <c r="L116" s="334">
        <v>2021</v>
      </c>
      <c r="M116" s="335"/>
      <c r="N116" s="335"/>
      <c r="O116" s="335"/>
      <c r="P116" s="338" t="s">
        <v>585</v>
      </c>
      <c r="Q116" s="409">
        <v>46973000</v>
      </c>
      <c r="R116" s="338" t="s">
        <v>228</v>
      </c>
      <c r="S116" s="335"/>
      <c r="T116" s="436" t="s">
        <v>94</v>
      </c>
      <c r="U116" s="89"/>
      <c r="V116" s="437"/>
      <c r="W116" s="101"/>
      <c r="X116" s="89"/>
      <c r="Y116" s="89"/>
      <c r="Z116" s="89"/>
    </row>
    <row r="117" spans="1:26" ht="54.75" customHeight="1" x14ac:dyDescent="0.25">
      <c r="A117" s="334">
        <v>10</v>
      </c>
      <c r="B117" s="640" t="s">
        <v>650</v>
      </c>
      <c r="C117" s="641"/>
      <c r="D117" s="335"/>
      <c r="E117" s="335"/>
      <c r="F117" s="335" t="s">
        <v>476</v>
      </c>
      <c r="G117" s="335">
        <v>46</v>
      </c>
      <c r="H117" s="335"/>
      <c r="I117" s="335">
        <v>1.2</v>
      </c>
      <c r="J117" s="413">
        <v>33.58</v>
      </c>
      <c r="K117" s="335" t="s">
        <v>295</v>
      </c>
      <c r="L117" s="334">
        <v>2021</v>
      </c>
      <c r="M117" s="335"/>
      <c r="N117" s="335"/>
      <c r="O117" s="335"/>
      <c r="P117" s="338" t="s">
        <v>644</v>
      </c>
      <c r="Q117" s="409">
        <v>31991500</v>
      </c>
      <c r="R117" s="338" t="s">
        <v>228</v>
      </c>
      <c r="S117" s="335"/>
      <c r="T117" s="103" t="s">
        <v>38</v>
      </c>
      <c r="U117" s="89"/>
      <c r="V117" s="101"/>
      <c r="W117" s="95"/>
      <c r="X117" s="89"/>
      <c r="Y117" s="89"/>
      <c r="Z117" s="89"/>
    </row>
    <row r="118" spans="1:26" ht="54.75" customHeight="1" x14ac:dyDescent="0.25">
      <c r="A118" s="334">
        <v>11</v>
      </c>
      <c r="B118" s="640" t="s">
        <v>651</v>
      </c>
      <c r="C118" s="641"/>
      <c r="D118" s="335"/>
      <c r="E118" s="335"/>
      <c r="F118" s="335" t="s">
        <v>476</v>
      </c>
      <c r="G118" s="335">
        <v>269</v>
      </c>
      <c r="H118" s="335"/>
      <c r="I118" s="335">
        <v>0.4</v>
      </c>
      <c r="J118" s="413">
        <v>80.7</v>
      </c>
      <c r="K118" s="335" t="s">
        <v>286</v>
      </c>
      <c r="L118" s="334">
        <v>2021</v>
      </c>
      <c r="M118" s="335"/>
      <c r="N118" s="335"/>
      <c r="O118" s="335"/>
      <c r="P118" s="338" t="s">
        <v>585</v>
      </c>
      <c r="Q118" s="409">
        <v>73540500</v>
      </c>
      <c r="R118" s="338" t="s">
        <v>228</v>
      </c>
      <c r="S118" s="335"/>
      <c r="T118" s="103" t="s">
        <v>38</v>
      </c>
      <c r="U118" s="89"/>
      <c r="V118" s="101"/>
      <c r="W118" s="95"/>
      <c r="X118" s="89"/>
      <c r="Y118" s="89"/>
      <c r="Z118" s="89"/>
    </row>
    <row r="119" spans="1:26" ht="54.75" customHeight="1" x14ac:dyDescent="0.25">
      <c r="A119" s="334">
        <v>12</v>
      </c>
      <c r="B119" s="640" t="s">
        <v>652</v>
      </c>
      <c r="C119" s="641"/>
      <c r="D119" s="335"/>
      <c r="E119" s="335"/>
      <c r="F119" s="335" t="s">
        <v>476</v>
      </c>
      <c r="G119" s="335">
        <v>110</v>
      </c>
      <c r="H119" s="335"/>
      <c r="I119" s="335">
        <v>0.5</v>
      </c>
      <c r="J119" s="413">
        <v>36.85</v>
      </c>
      <c r="K119" s="335" t="s">
        <v>653</v>
      </c>
      <c r="L119" s="334">
        <v>2021</v>
      </c>
      <c r="M119" s="335"/>
      <c r="N119" s="335"/>
      <c r="O119" s="335"/>
      <c r="P119" s="338" t="s">
        <v>585</v>
      </c>
      <c r="Q119" s="409">
        <v>35910500</v>
      </c>
      <c r="R119" s="338" t="s">
        <v>228</v>
      </c>
      <c r="S119" s="335"/>
      <c r="T119" s="103" t="s">
        <v>38</v>
      </c>
      <c r="U119" s="89"/>
      <c r="V119" s="101"/>
      <c r="W119" s="95"/>
      <c r="X119" s="89"/>
      <c r="Y119" s="89"/>
      <c r="Z119" s="89"/>
    </row>
    <row r="120" spans="1:26" ht="54.75" customHeight="1" x14ac:dyDescent="0.25">
      <c r="A120" s="334">
        <v>13</v>
      </c>
      <c r="B120" s="628" t="s">
        <v>658</v>
      </c>
      <c r="C120" s="629"/>
      <c r="D120" s="335"/>
      <c r="E120" s="335"/>
      <c r="F120" s="335" t="s">
        <v>476</v>
      </c>
      <c r="G120" s="335">
        <v>454</v>
      </c>
      <c r="H120" s="335">
        <v>2.5</v>
      </c>
      <c r="I120" s="335">
        <v>0.2</v>
      </c>
      <c r="J120" s="414">
        <v>75.45</v>
      </c>
      <c r="K120" s="335" t="s">
        <v>291</v>
      </c>
      <c r="L120" s="334">
        <v>2021</v>
      </c>
      <c r="M120" s="335"/>
      <c r="N120" s="335"/>
      <c r="O120" s="335"/>
      <c r="P120" s="338" t="s">
        <v>585</v>
      </c>
      <c r="Q120" s="409">
        <v>70326500</v>
      </c>
      <c r="R120" s="338" t="s">
        <v>228</v>
      </c>
      <c r="S120" s="335"/>
      <c r="T120" s="103" t="s">
        <v>38</v>
      </c>
      <c r="U120" s="101"/>
      <c r="V120" s="101"/>
      <c r="W120" s="95"/>
      <c r="X120" s="89"/>
      <c r="Y120" s="89"/>
      <c r="Z120" s="89"/>
    </row>
    <row r="121" spans="1:26" ht="54.75" customHeight="1" x14ac:dyDescent="0.25">
      <c r="A121" s="334">
        <v>14</v>
      </c>
      <c r="B121" s="640" t="s">
        <v>659</v>
      </c>
      <c r="C121" s="641"/>
      <c r="D121" s="335"/>
      <c r="E121" s="335"/>
      <c r="F121" s="335" t="s">
        <v>476</v>
      </c>
      <c r="G121" s="335">
        <v>127.8</v>
      </c>
      <c r="H121" s="335">
        <v>2.5</v>
      </c>
      <c r="I121" s="335">
        <v>0.12</v>
      </c>
      <c r="J121" s="414"/>
      <c r="K121" s="335"/>
      <c r="L121" s="334">
        <v>2021</v>
      </c>
      <c r="M121" s="335"/>
      <c r="N121" s="335"/>
      <c r="O121" s="335"/>
      <c r="P121" s="338" t="s">
        <v>585</v>
      </c>
      <c r="Q121" s="409">
        <v>30949250</v>
      </c>
      <c r="R121" s="338" t="s">
        <v>228</v>
      </c>
      <c r="S121" s="335"/>
      <c r="T121" s="103" t="s">
        <v>38</v>
      </c>
      <c r="U121" s="101"/>
      <c r="V121" s="101"/>
      <c r="W121" s="95"/>
      <c r="X121" s="89"/>
      <c r="Y121" s="89"/>
      <c r="Z121" s="89"/>
    </row>
    <row r="122" spans="1:26" ht="54.75" customHeight="1" x14ac:dyDescent="0.25">
      <c r="A122" s="334">
        <v>15</v>
      </c>
      <c r="B122" s="628" t="s">
        <v>660</v>
      </c>
      <c r="C122" s="629"/>
      <c r="D122" s="335"/>
      <c r="E122" s="335"/>
      <c r="F122" s="335" t="s">
        <v>476</v>
      </c>
      <c r="G122" s="335">
        <v>96</v>
      </c>
      <c r="H122" s="335"/>
      <c r="I122" s="335"/>
      <c r="J122" s="414"/>
      <c r="K122" s="335"/>
      <c r="L122" s="334">
        <v>2021</v>
      </c>
      <c r="M122" s="335"/>
      <c r="N122" s="335"/>
      <c r="O122" s="335"/>
      <c r="P122" s="338" t="s">
        <v>585</v>
      </c>
      <c r="Q122" s="409">
        <v>28088125</v>
      </c>
      <c r="R122" s="338" t="s">
        <v>228</v>
      </c>
      <c r="S122" s="335"/>
      <c r="T122" s="103" t="s">
        <v>38</v>
      </c>
      <c r="U122" s="89"/>
      <c r="V122" s="101"/>
      <c r="W122" s="95"/>
      <c r="X122" s="89"/>
      <c r="Y122" s="89"/>
      <c r="Z122" s="89"/>
    </row>
    <row r="123" spans="1:26" ht="54.75" customHeight="1" x14ac:dyDescent="0.25">
      <c r="A123" s="334">
        <v>16</v>
      </c>
      <c r="B123" s="628" t="s">
        <v>661</v>
      </c>
      <c r="C123" s="629"/>
      <c r="D123" s="335"/>
      <c r="E123" s="335"/>
      <c r="F123" s="335" t="s">
        <v>476</v>
      </c>
      <c r="G123" s="335">
        <v>207</v>
      </c>
      <c r="H123" s="335"/>
      <c r="I123" s="335"/>
      <c r="J123" s="414"/>
      <c r="K123" s="335"/>
      <c r="L123" s="334">
        <v>2021</v>
      </c>
      <c r="M123" s="335"/>
      <c r="N123" s="335"/>
      <c r="O123" s="335"/>
      <c r="P123" s="338" t="s">
        <v>585</v>
      </c>
      <c r="Q123" s="409">
        <v>50634375</v>
      </c>
      <c r="R123" s="338" t="s">
        <v>228</v>
      </c>
      <c r="S123" s="335"/>
      <c r="T123" s="103" t="s">
        <v>38</v>
      </c>
      <c r="U123" s="89"/>
      <c r="V123" s="101"/>
      <c r="W123" s="95"/>
      <c r="X123" s="89"/>
      <c r="Y123" s="89"/>
      <c r="Z123" s="89"/>
    </row>
    <row r="124" spans="1:26" ht="54.75" customHeight="1" x14ac:dyDescent="0.25">
      <c r="A124" s="411">
        <v>17</v>
      </c>
      <c r="B124" s="628" t="s">
        <v>623</v>
      </c>
      <c r="C124" s="629"/>
      <c r="D124" s="335"/>
      <c r="E124" s="335"/>
      <c r="F124" s="335" t="s">
        <v>476</v>
      </c>
      <c r="G124" s="335">
        <v>113</v>
      </c>
      <c r="H124" s="335"/>
      <c r="I124" s="335"/>
      <c r="J124" s="414"/>
      <c r="K124" s="335"/>
      <c r="L124" s="334">
        <v>2021</v>
      </c>
      <c r="M124" s="335"/>
      <c r="N124" s="335"/>
      <c r="O124" s="335"/>
      <c r="P124" s="338" t="s">
        <v>585</v>
      </c>
      <c r="Q124" s="409">
        <v>46047750</v>
      </c>
      <c r="R124" s="338" t="s">
        <v>228</v>
      </c>
      <c r="S124" s="335"/>
      <c r="T124" s="103" t="s">
        <v>38</v>
      </c>
      <c r="U124" s="89"/>
      <c r="V124" s="101"/>
      <c r="W124" s="95"/>
      <c r="X124" s="89"/>
      <c r="Y124" s="89"/>
      <c r="Z124" s="89"/>
    </row>
    <row r="125" spans="1:26" ht="54.75" customHeight="1" x14ac:dyDescent="0.25">
      <c r="A125" s="411">
        <v>18</v>
      </c>
      <c r="B125" s="628" t="s">
        <v>663</v>
      </c>
      <c r="C125" s="629"/>
      <c r="D125" s="335"/>
      <c r="E125" s="335"/>
      <c r="F125" s="335" t="s">
        <v>476</v>
      </c>
      <c r="G125" s="335">
        <v>200</v>
      </c>
      <c r="H125" s="335"/>
      <c r="I125" s="335"/>
      <c r="J125" s="414"/>
      <c r="K125" s="335"/>
      <c r="L125" s="334">
        <v>2021</v>
      </c>
      <c r="M125" s="335"/>
      <c r="N125" s="335"/>
      <c r="O125" s="335"/>
      <c r="P125" s="338" t="s">
        <v>585</v>
      </c>
      <c r="Q125" s="409">
        <v>12772000</v>
      </c>
      <c r="R125" s="338" t="s">
        <v>228</v>
      </c>
      <c r="S125" s="335"/>
      <c r="T125" s="368" t="s">
        <v>40</v>
      </c>
      <c r="U125" s="89"/>
      <c r="V125" s="101"/>
      <c r="W125" s="95"/>
      <c r="X125" s="89"/>
      <c r="Y125" s="89"/>
      <c r="Z125" s="89"/>
    </row>
    <row r="126" spans="1:26" ht="54.75" customHeight="1" x14ac:dyDescent="0.25">
      <c r="A126" s="411">
        <v>19</v>
      </c>
      <c r="B126" s="628" t="s">
        <v>664</v>
      </c>
      <c r="C126" s="629"/>
      <c r="D126" s="335"/>
      <c r="E126" s="335"/>
      <c r="F126" s="335" t="s">
        <v>476</v>
      </c>
      <c r="G126" s="335">
        <v>1</v>
      </c>
      <c r="H126" s="335"/>
      <c r="I126" s="335"/>
      <c r="J126" s="414"/>
      <c r="K126" s="335"/>
      <c r="L126" s="334">
        <v>2021</v>
      </c>
      <c r="M126" s="335"/>
      <c r="N126" s="335"/>
      <c r="O126" s="335"/>
      <c r="P126" s="338" t="s">
        <v>585</v>
      </c>
      <c r="Q126" s="409">
        <v>28450000</v>
      </c>
      <c r="R126" s="338" t="s">
        <v>228</v>
      </c>
      <c r="S126" s="335"/>
      <c r="T126" s="368" t="s">
        <v>92</v>
      </c>
      <c r="U126" s="89"/>
      <c r="V126" s="101"/>
      <c r="W126" s="95"/>
      <c r="X126" s="89"/>
      <c r="Y126" s="89"/>
      <c r="Z126" s="89"/>
    </row>
    <row r="127" spans="1:26" ht="54.75" customHeight="1" x14ac:dyDescent="0.25">
      <c r="A127" s="411">
        <v>20</v>
      </c>
      <c r="B127" s="628" t="s">
        <v>665</v>
      </c>
      <c r="C127" s="629"/>
      <c r="D127" s="335"/>
      <c r="E127" s="335"/>
      <c r="F127" s="335" t="s">
        <v>476</v>
      </c>
      <c r="G127" s="335">
        <v>0</v>
      </c>
      <c r="H127" s="335"/>
      <c r="I127" s="335"/>
      <c r="J127" s="414"/>
      <c r="K127" s="335"/>
      <c r="L127" s="334">
        <v>2021</v>
      </c>
      <c r="M127" s="335"/>
      <c r="N127" s="335"/>
      <c r="O127" s="335"/>
      <c r="P127" s="338" t="s">
        <v>668</v>
      </c>
      <c r="Q127" s="409">
        <v>0</v>
      </c>
      <c r="R127" s="338" t="s">
        <v>228</v>
      </c>
      <c r="S127" s="335"/>
      <c r="T127" s="368" t="s">
        <v>38</v>
      </c>
      <c r="U127" s="101"/>
      <c r="V127" s="101"/>
      <c r="W127" s="95"/>
      <c r="X127" s="89"/>
      <c r="Y127" s="89"/>
      <c r="Z127" s="89"/>
    </row>
    <row r="128" spans="1:26" ht="54.75" customHeight="1" x14ac:dyDescent="0.25">
      <c r="A128" s="411">
        <v>21</v>
      </c>
      <c r="B128" s="628" t="s">
        <v>667</v>
      </c>
      <c r="C128" s="629"/>
      <c r="D128" s="335"/>
      <c r="E128" s="335"/>
      <c r="F128" s="335" t="s">
        <v>476</v>
      </c>
      <c r="G128" s="335">
        <v>350</v>
      </c>
      <c r="H128" s="335">
        <v>2.5</v>
      </c>
      <c r="I128" s="335">
        <v>0.12</v>
      </c>
      <c r="J128" s="414">
        <v>105</v>
      </c>
      <c r="K128" s="335"/>
      <c r="L128" s="334">
        <v>2021</v>
      </c>
      <c r="M128" s="335"/>
      <c r="N128" s="335"/>
      <c r="O128" s="335"/>
      <c r="P128" s="338" t="s">
        <v>668</v>
      </c>
      <c r="Q128" s="409">
        <v>100000000</v>
      </c>
      <c r="R128" s="338" t="s">
        <v>228</v>
      </c>
      <c r="S128" s="335"/>
      <c r="T128" s="368" t="s">
        <v>38</v>
      </c>
      <c r="U128" s="101"/>
      <c r="V128" s="101"/>
      <c r="W128" s="95"/>
      <c r="X128" s="89"/>
      <c r="Y128" s="89"/>
      <c r="Z128" s="89"/>
    </row>
    <row r="129" spans="1:30" x14ac:dyDescent="0.25">
      <c r="A129" s="334"/>
      <c r="B129" s="380"/>
      <c r="C129" s="381"/>
      <c r="D129" s="335"/>
      <c r="E129" s="335"/>
      <c r="F129" s="335"/>
      <c r="G129" s="336"/>
      <c r="H129" s="336"/>
      <c r="I129" s="336"/>
      <c r="J129" s="337"/>
      <c r="K129" s="335"/>
      <c r="L129" s="335"/>
      <c r="M129" s="335"/>
      <c r="N129" s="335"/>
      <c r="O129" s="335"/>
      <c r="P129" s="338"/>
      <c r="Q129" s="339"/>
      <c r="R129" s="338"/>
      <c r="S129" s="335"/>
      <c r="T129" s="103"/>
      <c r="U129" s="89"/>
      <c r="V129" s="101"/>
      <c r="W129" s="95"/>
      <c r="X129" s="89"/>
      <c r="Y129" s="89"/>
      <c r="Z129" s="89"/>
    </row>
    <row r="130" spans="1:30" x14ac:dyDescent="0.25">
      <c r="A130" s="415"/>
      <c r="B130" s="630" t="s">
        <v>640</v>
      </c>
      <c r="C130" s="631"/>
      <c r="D130" s="416"/>
      <c r="E130" s="416"/>
      <c r="F130" s="416"/>
      <c r="G130" s="417"/>
      <c r="H130" s="417"/>
      <c r="I130" s="417"/>
      <c r="J130" s="418"/>
      <c r="K130" s="416"/>
      <c r="L130" s="416"/>
      <c r="M130" s="416"/>
      <c r="N130" s="416"/>
      <c r="O130" s="416"/>
      <c r="P130" s="419"/>
      <c r="Q130" s="420">
        <f>SUM(Q108:Q129)</f>
        <v>771418850</v>
      </c>
      <c r="R130" s="419"/>
      <c r="S130" s="416"/>
      <c r="T130" s="103"/>
      <c r="U130" s="89"/>
      <c r="V130" s="101"/>
      <c r="W130" s="95"/>
      <c r="X130" s="89"/>
      <c r="Y130" s="89"/>
      <c r="Z130" s="89"/>
    </row>
    <row r="131" spans="1:30" x14ac:dyDescent="0.25">
      <c r="A131" s="320"/>
      <c r="B131" s="320"/>
      <c r="C131" s="320"/>
      <c r="D131" s="293"/>
      <c r="E131" s="293"/>
      <c r="F131" s="293"/>
      <c r="G131" s="321"/>
      <c r="H131" s="321"/>
      <c r="I131" s="321"/>
      <c r="J131" s="322"/>
      <c r="K131" s="293"/>
      <c r="L131" s="293"/>
      <c r="M131" s="293"/>
      <c r="N131" s="293"/>
      <c r="O131" s="293"/>
      <c r="P131" s="323"/>
      <c r="Q131" s="324"/>
      <c r="R131" s="323"/>
      <c r="S131" s="318"/>
      <c r="T131" s="318"/>
      <c r="U131" s="89"/>
      <c r="V131" s="89"/>
      <c r="W131" s="95"/>
      <c r="X131" s="89"/>
      <c r="Y131" s="89"/>
      <c r="Z131" s="89"/>
    </row>
    <row r="132" spans="1:30" ht="15.75" x14ac:dyDescent="0.25">
      <c r="A132" s="579" t="s">
        <v>675</v>
      </c>
      <c r="B132" s="579"/>
      <c r="C132" s="579"/>
      <c r="D132" s="579"/>
      <c r="E132" s="579"/>
      <c r="F132" s="579"/>
      <c r="G132" s="579"/>
      <c r="H132" s="579"/>
      <c r="I132" s="579"/>
      <c r="J132" s="579"/>
      <c r="K132" s="579"/>
      <c r="L132" s="579"/>
      <c r="M132" s="579"/>
      <c r="N132" s="579"/>
      <c r="O132" s="579"/>
      <c r="P132" s="579"/>
      <c r="Q132" s="579"/>
      <c r="R132" s="579"/>
      <c r="S132" s="408"/>
      <c r="T132" s="103"/>
      <c r="U132" s="89"/>
      <c r="V132" s="89"/>
      <c r="W132" s="95"/>
      <c r="X132" s="89"/>
      <c r="Y132" s="89"/>
      <c r="Z132" s="89"/>
    </row>
    <row r="133" spans="1:30" ht="46.5" customHeight="1" x14ac:dyDescent="0.25">
      <c r="A133" s="411">
        <v>1</v>
      </c>
      <c r="B133" s="628" t="s">
        <v>679</v>
      </c>
      <c r="C133" s="629"/>
      <c r="D133" s="338"/>
      <c r="E133" s="338"/>
      <c r="F133" s="338" t="s">
        <v>476</v>
      </c>
      <c r="G133" s="338">
        <v>103</v>
      </c>
      <c r="H133" s="338">
        <v>2.5</v>
      </c>
      <c r="I133" s="338" t="s">
        <v>680</v>
      </c>
      <c r="J133" s="411">
        <v>10.3</v>
      </c>
      <c r="K133" s="486" t="s">
        <v>535</v>
      </c>
      <c r="L133" s="411">
        <v>2022</v>
      </c>
      <c r="M133" s="338"/>
      <c r="N133" s="338"/>
      <c r="O133" s="338"/>
      <c r="P133" s="439" t="s">
        <v>644</v>
      </c>
      <c r="Q133" s="412">
        <v>34024428</v>
      </c>
      <c r="R133" s="338" t="s">
        <v>228</v>
      </c>
      <c r="S133" s="338"/>
      <c r="T133" s="487" t="s">
        <v>38</v>
      </c>
      <c r="U133" s="89"/>
      <c r="V133" s="89"/>
      <c r="W133" s="95"/>
      <c r="X133" s="89"/>
      <c r="Y133" s="89"/>
      <c r="Z133" s="89"/>
    </row>
    <row r="134" spans="1:30" ht="41.25" customHeight="1" x14ac:dyDescent="0.25">
      <c r="A134" s="411">
        <v>2</v>
      </c>
      <c r="B134" s="628" t="s">
        <v>681</v>
      </c>
      <c r="C134" s="629"/>
      <c r="D134" s="338"/>
      <c r="E134" s="338"/>
      <c r="F134" s="338" t="s">
        <v>476</v>
      </c>
      <c r="G134" s="338">
        <v>200</v>
      </c>
      <c r="H134" s="338"/>
      <c r="I134" s="488" t="s">
        <v>682</v>
      </c>
      <c r="J134" s="338">
        <v>81</v>
      </c>
      <c r="K134" s="338" t="s">
        <v>369</v>
      </c>
      <c r="L134" s="411">
        <v>2022</v>
      </c>
      <c r="M134" s="338"/>
      <c r="N134" s="338"/>
      <c r="O134" s="338"/>
      <c r="P134" s="338" t="s">
        <v>585</v>
      </c>
      <c r="Q134" s="412">
        <v>79269100</v>
      </c>
      <c r="R134" s="338" t="s">
        <v>228</v>
      </c>
      <c r="S134" s="338"/>
      <c r="T134" s="487" t="s">
        <v>38</v>
      </c>
      <c r="U134" s="89"/>
      <c r="V134" s="89"/>
      <c r="W134" s="95"/>
      <c r="X134" s="89"/>
      <c r="Y134" s="89"/>
      <c r="Z134" s="89"/>
    </row>
    <row r="135" spans="1:30" ht="44.25" customHeight="1" x14ac:dyDescent="0.25">
      <c r="A135" s="411">
        <v>3</v>
      </c>
      <c r="B135" s="628" t="s">
        <v>683</v>
      </c>
      <c r="C135" s="629"/>
      <c r="D135" s="338"/>
      <c r="E135" s="338"/>
      <c r="F135" s="338" t="s">
        <v>476</v>
      </c>
      <c r="G135" s="338">
        <v>70</v>
      </c>
      <c r="H135" s="338"/>
      <c r="I135" s="488" t="s">
        <v>684</v>
      </c>
      <c r="J135" s="489">
        <v>28.5</v>
      </c>
      <c r="K135" s="338" t="s">
        <v>514</v>
      </c>
      <c r="L135" s="411">
        <v>2022</v>
      </c>
      <c r="M135" s="338"/>
      <c r="N135" s="338"/>
      <c r="O135" s="338"/>
      <c r="P135" s="338" t="s">
        <v>585</v>
      </c>
      <c r="Q135" s="412">
        <v>28415500</v>
      </c>
      <c r="R135" s="338" t="s">
        <v>228</v>
      </c>
      <c r="S135" s="338"/>
      <c r="T135" s="487" t="s">
        <v>38</v>
      </c>
      <c r="U135" s="89"/>
      <c r="V135" s="89"/>
      <c r="W135" s="95"/>
      <c r="X135" s="89"/>
      <c r="Y135" s="89"/>
      <c r="Z135" s="89"/>
    </row>
    <row r="136" spans="1:30" ht="42.75" customHeight="1" x14ac:dyDescent="0.25">
      <c r="A136" s="411">
        <v>4</v>
      </c>
      <c r="B136" s="628" t="s">
        <v>685</v>
      </c>
      <c r="C136" s="629"/>
      <c r="D136" s="338"/>
      <c r="E136" s="338"/>
      <c r="F136" s="338" t="s">
        <v>476</v>
      </c>
      <c r="G136" s="338">
        <v>147</v>
      </c>
      <c r="H136" s="338"/>
      <c r="I136" s="488" t="s">
        <v>686</v>
      </c>
      <c r="J136" s="489">
        <v>49.25</v>
      </c>
      <c r="K136" s="338" t="s">
        <v>510</v>
      </c>
      <c r="L136" s="411">
        <v>2022</v>
      </c>
      <c r="M136" s="338"/>
      <c r="N136" s="338"/>
      <c r="O136" s="338"/>
      <c r="P136" s="338" t="s">
        <v>585</v>
      </c>
      <c r="Q136" s="412">
        <v>53089900</v>
      </c>
      <c r="R136" s="338" t="s">
        <v>228</v>
      </c>
      <c r="S136" s="338"/>
      <c r="T136" s="487" t="s">
        <v>38</v>
      </c>
      <c r="U136" s="89"/>
      <c r="V136" s="101">
        <f>SUM(Q133:Q140)</f>
        <v>401902978</v>
      </c>
      <c r="W136" s="95"/>
      <c r="X136" s="89"/>
      <c r="Y136" s="89"/>
      <c r="Z136" s="89"/>
    </row>
    <row r="137" spans="1:30" ht="37.5" customHeight="1" x14ac:dyDescent="0.25">
      <c r="A137" s="411">
        <v>5</v>
      </c>
      <c r="B137" s="628" t="s">
        <v>687</v>
      </c>
      <c r="C137" s="629"/>
      <c r="D137" s="338"/>
      <c r="E137" s="338"/>
      <c r="F137" s="338" t="s">
        <v>476</v>
      </c>
      <c r="G137" s="338">
        <v>116</v>
      </c>
      <c r="H137" s="338"/>
      <c r="I137" s="488" t="s">
        <v>688</v>
      </c>
      <c r="J137" s="489">
        <v>51.4</v>
      </c>
      <c r="K137" s="338" t="s">
        <v>398</v>
      </c>
      <c r="L137" s="411">
        <v>2022</v>
      </c>
      <c r="M137" s="338"/>
      <c r="N137" s="338"/>
      <c r="O137" s="338"/>
      <c r="P137" s="338" t="s">
        <v>668</v>
      </c>
      <c r="Q137" s="412">
        <v>50000000</v>
      </c>
      <c r="R137" s="338" t="s">
        <v>228</v>
      </c>
      <c r="S137" s="338"/>
      <c r="T137" s="487" t="s">
        <v>38</v>
      </c>
      <c r="U137" s="89"/>
      <c r="V137" s="89"/>
      <c r="W137" s="95"/>
      <c r="X137" s="89"/>
      <c r="Y137" s="89"/>
      <c r="Z137" s="89"/>
    </row>
    <row r="138" spans="1:30" ht="38.25" customHeight="1" x14ac:dyDescent="0.25">
      <c r="A138" s="411">
        <v>6</v>
      </c>
      <c r="B138" s="628" t="s">
        <v>689</v>
      </c>
      <c r="C138" s="629"/>
      <c r="D138" s="338"/>
      <c r="E138" s="338"/>
      <c r="F138" s="338" t="s">
        <v>476</v>
      </c>
      <c r="G138" s="338">
        <v>115</v>
      </c>
      <c r="H138" s="338"/>
      <c r="I138" s="488" t="s">
        <v>690</v>
      </c>
      <c r="J138" s="489">
        <v>50.6</v>
      </c>
      <c r="K138" s="338" t="s">
        <v>398</v>
      </c>
      <c r="L138" s="411">
        <v>2022</v>
      </c>
      <c r="M138" s="338"/>
      <c r="N138" s="338"/>
      <c r="O138" s="338"/>
      <c r="P138" s="338" t="s">
        <v>585</v>
      </c>
      <c r="Q138" s="412">
        <v>49505600</v>
      </c>
      <c r="R138" s="338" t="s">
        <v>228</v>
      </c>
      <c r="S138" s="338"/>
      <c r="T138" s="327" t="s">
        <v>38</v>
      </c>
      <c r="U138" s="89"/>
      <c r="V138" s="89"/>
      <c r="W138" s="95"/>
      <c r="X138" s="89"/>
      <c r="Y138" s="89"/>
      <c r="Z138" s="89"/>
    </row>
    <row r="139" spans="1:30" s="256" customFormat="1" ht="36.75" customHeight="1" x14ac:dyDescent="0.25">
      <c r="A139" s="411">
        <v>7</v>
      </c>
      <c r="B139" s="628" t="s">
        <v>701</v>
      </c>
      <c r="C139" s="629"/>
      <c r="D139" s="338"/>
      <c r="E139" s="338"/>
      <c r="F139" s="338" t="s">
        <v>476</v>
      </c>
      <c r="G139" s="338"/>
      <c r="H139" s="338"/>
      <c r="I139" s="488" t="s">
        <v>690</v>
      </c>
      <c r="J139" s="489"/>
      <c r="K139" s="486" t="s">
        <v>535</v>
      </c>
      <c r="L139" s="411">
        <v>2022</v>
      </c>
      <c r="M139" s="338"/>
      <c r="N139" s="338"/>
      <c r="O139" s="338"/>
      <c r="P139" s="338" t="s">
        <v>585</v>
      </c>
      <c r="Q139" s="412">
        <v>59723450</v>
      </c>
      <c r="R139" s="338" t="s">
        <v>228</v>
      </c>
      <c r="S139" s="338"/>
      <c r="T139" s="327" t="s">
        <v>38</v>
      </c>
      <c r="U139" s="97"/>
      <c r="V139" s="97"/>
      <c r="W139" s="97"/>
      <c r="X139" s="97"/>
      <c r="Y139" s="97"/>
      <c r="Z139" s="97"/>
      <c r="AA139" s="492"/>
      <c r="AB139" s="492"/>
      <c r="AC139" s="492"/>
      <c r="AD139" s="492"/>
    </row>
    <row r="140" spans="1:30" s="256" customFormat="1" ht="36.75" customHeight="1" x14ac:dyDescent="0.25">
      <c r="A140" s="411">
        <v>8</v>
      </c>
      <c r="B140" s="628" t="s">
        <v>702</v>
      </c>
      <c r="C140" s="629"/>
      <c r="D140" s="338"/>
      <c r="E140" s="338"/>
      <c r="F140" s="338" t="s">
        <v>476</v>
      </c>
      <c r="G140" s="338"/>
      <c r="H140" s="338"/>
      <c r="I140" s="488" t="s">
        <v>690</v>
      </c>
      <c r="J140" s="489"/>
      <c r="K140" s="486" t="s">
        <v>514</v>
      </c>
      <c r="L140" s="411">
        <v>2022</v>
      </c>
      <c r="M140" s="338"/>
      <c r="N140" s="338"/>
      <c r="O140" s="338"/>
      <c r="P140" s="338" t="s">
        <v>585</v>
      </c>
      <c r="Q140" s="412">
        <v>47875000</v>
      </c>
      <c r="R140" s="338" t="s">
        <v>228</v>
      </c>
      <c r="S140" s="338"/>
      <c r="T140" s="327" t="s">
        <v>38</v>
      </c>
      <c r="U140" s="97"/>
      <c r="V140" s="97"/>
      <c r="W140" s="97"/>
      <c r="X140" s="97"/>
      <c r="Y140" s="97"/>
      <c r="Z140" s="97"/>
      <c r="AA140" s="492"/>
      <c r="AB140" s="492"/>
      <c r="AC140" s="492"/>
      <c r="AD140" s="492"/>
    </row>
    <row r="141" spans="1:30" s="256" customFormat="1" ht="36.75" customHeight="1" x14ac:dyDescent="0.25">
      <c r="A141" s="334">
        <v>9</v>
      </c>
      <c r="B141" s="640" t="s">
        <v>649</v>
      </c>
      <c r="C141" s="641"/>
      <c r="D141" s="335"/>
      <c r="E141" s="335"/>
      <c r="F141" s="335" t="s">
        <v>476</v>
      </c>
      <c r="G141" s="335"/>
      <c r="H141" s="335"/>
      <c r="I141" s="335"/>
      <c r="J141" s="413"/>
      <c r="K141" s="335" t="s">
        <v>295</v>
      </c>
      <c r="L141" s="334">
        <v>2021</v>
      </c>
      <c r="M141" s="335"/>
      <c r="N141" s="335"/>
      <c r="O141" s="335"/>
      <c r="P141" s="338" t="s">
        <v>585</v>
      </c>
      <c r="Q141" s="409">
        <v>2000000</v>
      </c>
      <c r="R141" s="338" t="s">
        <v>228</v>
      </c>
      <c r="S141" s="335"/>
      <c r="T141" s="436" t="s">
        <v>94</v>
      </c>
      <c r="U141" s="97"/>
      <c r="V141" s="97"/>
      <c r="W141" s="97"/>
      <c r="X141" s="97"/>
      <c r="Y141" s="97"/>
      <c r="Z141" s="97"/>
      <c r="AA141" s="492"/>
      <c r="AB141" s="492"/>
      <c r="AC141" s="492"/>
      <c r="AD141" s="492"/>
    </row>
    <row r="142" spans="1:30" x14ac:dyDescent="0.25">
      <c r="A142" s="334"/>
      <c r="B142" s="442"/>
      <c r="C142" s="443"/>
      <c r="D142" s="335"/>
      <c r="E142" s="335"/>
      <c r="F142" s="335"/>
      <c r="G142" s="336"/>
      <c r="H142" s="336"/>
      <c r="I142" s="336"/>
      <c r="J142" s="337"/>
      <c r="K142" s="335"/>
      <c r="L142" s="335"/>
      <c r="M142" s="335"/>
      <c r="N142" s="335"/>
      <c r="O142" s="335"/>
      <c r="P142" s="338"/>
      <c r="Q142" s="339"/>
      <c r="R142" s="338"/>
      <c r="S142" s="335"/>
      <c r="T142" s="103"/>
      <c r="U142" s="89"/>
      <c r="V142" s="89"/>
      <c r="W142" s="95"/>
      <c r="X142" s="89"/>
      <c r="Y142" s="89"/>
      <c r="Z142" s="89"/>
    </row>
    <row r="143" spans="1:30" x14ac:dyDescent="0.25">
      <c r="A143" s="415"/>
      <c r="B143" s="630" t="s">
        <v>676</v>
      </c>
      <c r="C143" s="631"/>
      <c r="D143" s="416"/>
      <c r="E143" s="416"/>
      <c r="F143" s="416"/>
      <c r="G143" s="417"/>
      <c r="H143" s="417"/>
      <c r="I143" s="417"/>
      <c r="J143" s="418"/>
      <c r="K143" s="416"/>
      <c r="L143" s="416"/>
      <c r="M143" s="416"/>
      <c r="N143" s="416"/>
      <c r="O143" s="416"/>
      <c r="P143" s="419"/>
      <c r="Q143" s="420">
        <f>SUM(Q133:Q142)</f>
        <v>403902978</v>
      </c>
      <c r="R143" s="419"/>
      <c r="S143" s="416"/>
      <c r="T143" s="103"/>
      <c r="U143" s="89"/>
      <c r="V143" s="89"/>
      <c r="W143" s="95"/>
      <c r="X143" s="89"/>
      <c r="Y143" s="89"/>
      <c r="Z143" s="89"/>
    </row>
    <row r="144" spans="1:30" x14ac:dyDescent="0.25">
      <c r="A144" s="632" t="s">
        <v>266</v>
      </c>
      <c r="B144" s="633"/>
      <c r="C144" s="634"/>
      <c r="D144" s="335"/>
      <c r="E144" s="335"/>
      <c r="F144" s="335"/>
      <c r="G144" s="336"/>
      <c r="H144" s="336"/>
      <c r="I144" s="336"/>
      <c r="J144" s="337"/>
      <c r="K144" s="335"/>
      <c r="L144" s="335"/>
      <c r="M144" s="335"/>
      <c r="N144" s="335"/>
      <c r="O144" s="335"/>
      <c r="P144" s="338"/>
      <c r="Q144" s="340">
        <f>Q65+Q90+Q106+Q130+Q143</f>
        <v>4731688200</v>
      </c>
      <c r="R144" s="338"/>
      <c r="S144" s="85"/>
      <c r="T144" s="104"/>
      <c r="U144" s="89"/>
      <c r="V144" s="89"/>
      <c r="W144" s="95"/>
      <c r="X144" s="89"/>
      <c r="Y144" s="89"/>
      <c r="Z144" s="89"/>
    </row>
    <row r="145" spans="1:30" x14ac:dyDescent="0.25">
      <c r="A145" s="320"/>
      <c r="B145" s="320"/>
      <c r="C145" s="320"/>
      <c r="D145" s="293"/>
      <c r="E145" s="293"/>
      <c r="F145" s="293"/>
      <c r="G145" s="321"/>
      <c r="H145" s="321"/>
      <c r="I145" s="321"/>
      <c r="J145" s="322"/>
      <c r="K145" s="293"/>
      <c r="L145" s="293"/>
      <c r="M145" s="293"/>
      <c r="N145" s="293"/>
      <c r="O145" s="293"/>
      <c r="P145" s="323"/>
      <c r="Q145" s="324"/>
      <c r="R145" s="323"/>
      <c r="S145" s="318"/>
      <c r="T145" s="318"/>
      <c r="U145" s="89"/>
      <c r="V145" s="89"/>
      <c r="W145" s="95"/>
      <c r="X145" s="89"/>
      <c r="Y145" s="89"/>
      <c r="Z145" s="89"/>
    </row>
    <row r="146" spans="1:30" ht="15.75" x14ac:dyDescent="0.25">
      <c r="A146" s="579" t="s">
        <v>707</v>
      </c>
      <c r="B146" s="579"/>
      <c r="C146" s="579"/>
      <c r="D146" s="579"/>
      <c r="E146" s="579"/>
      <c r="F146" s="579"/>
      <c r="G146" s="579"/>
      <c r="H146" s="579"/>
      <c r="I146" s="579"/>
      <c r="J146" s="579"/>
      <c r="K146" s="579"/>
      <c r="L146" s="579"/>
      <c r="M146" s="579"/>
      <c r="N146" s="579"/>
      <c r="O146" s="579"/>
      <c r="P146" s="579"/>
      <c r="Q146" s="579"/>
      <c r="R146" s="579"/>
      <c r="S146" s="408"/>
      <c r="T146" s="103"/>
    </row>
    <row r="147" spans="1:30" ht="25.5" customHeight="1" x14ac:dyDescent="0.25">
      <c r="A147" s="411">
        <v>1</v>
      </c>
      <c r="B147" s="628" t="s">
        <v>664</v>
      </c>
      <c r="C147" s="629"/>
      <c r="D147" s="338"/>
      <c r="E147" s="338"/>
      <c r="F147" s="338" t="s">
        <v>476</v>
      </c>
      <c r="G147" s="338">
        <v>1</v>
      </c>
      <c r="H147" s="338"/>
      <c r="I147" s="338"/>
      <c r="J147" s="411"/>
      <c r="K147" s="486"/>
      <c r="L147" s="411">
        <v>2023</v>
      </c>
      <c r="M147" s="338"/>
      <c r="N147" s="338" t="s">
        <v>527</v>
      </c>
      <c r="O147" s="338"/>
      <c r="P147" s="439" t="s">
        <v>585</v>
      </c>
      <c r="Q147" s="412">
        <v>39388500</v>
      </c>
      <c r="R147" s="338" t="s">
        <v>228</v>
      </c>
      <c r="S147" s="338"/>
      <c r="T147" s="368" t="s">
        <v>92</v>
      </c>
      <c r="U147" s="101"/>
      <c r="V147" s="89"/>
      <c r="W147" s="101"/>
    </row>
    <row r="148" spans="1:30" ht="31.5" customHeight="1" x14ac:dyDescent="0.25">
      <c r="A148" s="411">
        <v>2</v>
      </c>
      <c r="B148" s="628" t="s">
        <v>712</v>
      </c>
      <c r="C148" s="629"/>
      <c r="D148" s="338"/>
      <c r="E148" s="338"/>
      <c r="F148" s="338" t="s">
        <v>476</v>
      </c>
      <c r="G148" s="338"/>
      <c r="H148" s="338"/>
      <c r="I148" s="488"/>
      <c r="J148" s="338"/>
      <c r="K148" s="338"/>
      <c r="L148" s="411">
        <v>2023</v>
      </c>
      <c r="M148" s="338"/>
      <c r="N148" s="338" t="s">
        <v>711</v>
      </c>
      <c r="O148" s="338"/>
      <c r="P148" s="338" t="s">
        <v>668</v>
      </c>
      <c r="Q148" s="412">
        <v>85000000</v>
      </c>
      <c r="R148" s="338" t="s">
        <v>228</v>
      </c>
      <c r="S148" s="338"/>
      <c r="T148" s="487" t="s">
        <v>38</v>
      </c>
      <c r="U148" s="89"/>
      <c r="V148" s="89"/>
      <c r="W148" s="89"/>
    </row>
    <row r="149" spans="1:30" ht="53.25" customHeight="1" x14ac:dyDescent="0.25">
      <c r="A149" s="411">
        <v>3</v>
      </c>
      <c r="B149" s="628" t="s">
        <v>713</v>
      </c>
      <c r="C149" s="629"/>
      <c r="D149" s="338"/>
      <c r="E149" s="338"/>
      <c r="F149" s="338" t="s">
        <v>476</v>
      </c>
      <c r="G149" s="338"/>
      <c r="H149" s="338"/>
      <c r="I149" s="488"/>
      <c r="J149" s="489"/>
      <c r="K149" s="338"/>
      <c r="L149" s="411">
        <v>2023</v>
      </c>
      <c r="M149" s="338"/>
      <c r="N149" s="338"/>
      <c r="O149" s="338"/>
      <c r="P149" s="338" t="s">
        <v>585</v>
      </c>
      <c r="Q149" s="412">
        <v>88854900</v>
      </c>
      <c r="R149" s="338" t="s">
        <v>228</v>
      </c>
      <c r="S149" s="338"/>
      <c r="T149" s="487" t="s">
        <v>38</v>
      </c>
      <c r="U149" s="89"/>
      <c r="V149" s="89"/>
      <c r="W149" s="89"/>
    </row>
    <row r="150" spans="1:30" ht="52.5" customHeight="1" x14ac:dyDescent="0.25">
      <c r="A150" s="411">
        <v>4</v>
      </c>
      <c r="B150" s="628" t="s">
        <v>714</v>
      </c>
      <c r="C150" s="629"/>
      <c r="D150" s="338"/>
      <c r="E150" s="338"/>
      <c r="F150" s="338" t="s">
        <v>476</v>
      </c>
      <c r="G150" s="338"/>
      <c r="H150" s="338"/>
      <c r="I150" s="488"/>
      <c r="J150" s="489"/>
      <c r="K150" s="338"/>
      <c r="L150" s="411">
        <v>2023</v>
      </c>
      <c r="M150" s="338"/>
      <c r="N150" s="338"/>
      <c r="O150" s="338"/>
      <c r="P150" s="338" t="s">
        <v>668</v>
      </c>
      <c r="Q150" s="412">
        <v>85000000</v>
      </c>
      <c r="R150" s="338" t="s">
        <v>228</v>
      </c>
      <c r="S150" s="338"/>
      <c r="T150" s="487" t="s">
        <v>38</v>
      </c>
    </row>
    <row r="151" spans="1:30" ht="29.25" customHeight="1" x14ac:dyDescent="0.25">
      <c r="A151" s="411">
        <v>5</v>
      </c>
      <c r="B151" s="628" t="s">
        <v>715</v>
      </c>
      <c r="C151" s="629"/>
      <c r="D151" s="338"/>
      <c r="E151" s="338"/>
      <c r="F151" s="338" t="s">
        <v>476</v>
      </c>
      <c r="G151" s="338"/>
      <c r="H151" s="338"/>
      <c r="I151" s="488"/>
      <c r="J151" s="489"/>
      <c r="K151" s="338"/>
      <c r="L151" s="411">
        <v>2023</v>
      </c>
      <c r="M151" s="338"/>
      <c r="N151" s="338"/>
      <c r="O151" s="338"/>
      <c r="P151" s="338" t="s">
        <v>585</v>
      </c>
      <c r="Q151" s="412">
        <v>39388500</v>
      </c>
      <c r="R151" s="338" t="s">
        <v>228</v>
      </c>
      <c r="S151" s="338"/>
      <c r="T151" s="368" t="s">
        <v>92</v>
      </c>
    </row>
    <row r="152" spans="1:30" ht="24.75" customHeight="1" x14ac:dyDescent="0.25">
      <c r="A152" s="411">
        <v>6</v>
      </c>
      <c r="B152" s="628" t="s">
        <v>716</v>
      </c>
      <c r="C152" s="629"/>
      <c r="D152" s="338"/>
      <c r="E152" s="338"/>
      <c r="F152" s="338" t="s">
        <v>476</v>
      </c>
      <c r="G152" s="338"/>
      <c r="H152" s="338"/>
      <c r="I152" s="488"/>
      <c r="J152" s="489"/>
      <c r="K152" s="338"/>
      <c r="L152" s="411">
        <v>2023</v>
      </c>
      <c r="M152" s="338"/>
      <c r="N152" s="338"/>
      <c r="O152" s="338"/>
      <c r="P152" s="338" t="s">
        <v>585</v>
      </c>
      <c r="Q152" s="412">
        <v>34650500</v>
      </c>
      <c r="R152" s="338" t="s">
        <v>228</v>
      </c>
      <c r="S152" s="338"/>
      <c r="T152" s="368" t="s">
        <v>92</v>
      </c>
    </row>
    <row r="153" spans="1:30" ht="25.5" customHeight="1" x14ac:dyDescent="0.25">
      <c r="A153" s="411">
        <v>7</v>
      </c>
      <c r="B153" s="628" t="s">
        <v>717</v>
      </c>
      <c r="C153" s="629"/>
      <c r="D153" s="338"/>
      <c r="E153" s="338"/>
      <c r="F153" s="338" t="s">
        <v>476</v>
      </c>
      <c r="G153" s="338"/>
      <c r="H153" s="338"/>
      <c r="I153" s="488"/>
      <c r="J153" s="489"/>
      <c r="K153" s="486"/>
      <c r="L153" s="411">
        <v>2023</v>
      </c>
      <c r="M153" s="338"/>
      <c r="N153" s="338"/>
      <c r="O153" s="338"/>
      <c r="P153" s="338" t="s">
        <v>585</v>
      </c>
      <c r="Q153" s="412">
        <v>34600500</v>
      </c>
      <c r="R153" s="338" t="s">
        <v>228</v>
      </c>
      <c r="S153" s="338"/>
      <c r="T153" s="368" t="s">
        <v>92</v>
      </c>
      <c r="U153" s="89"/>
      <c r="V153" s="89"/>
      <c r="W153" s="89"/>
    </row>
    <row r="154" spans="1:30" ht="29.25" customHeight="1" x14ac:dyDescent="0.25">
      <c r="A154" s="411">
        <v>8</v>
      </c>
      <c r="B154" s="628" t="s">
        <v>718</v>
      </c>
      <c r="C154" s="629"/>
      <c r="D154" s="338"/>
      <c r="E154" s="338"/>
      <c r="F154" s="338" t="s">
        <v>476</v>
      </c>
      <c r="G154" s="338"/>
      <c r="H154" s="338"/>
      <c r="I154" s="488"/>
      <c r="J154" s="489"/>
      <c r="K154" s="486"/>
      <c r="L154" s="411">
        <v>2023</v>
      </c>
      <c r="M154" s="338"/>
      <c r="N154" s="338"/>
      <c r="O154" s="338"/>
      <c r="P154" s="338" t="s">
        <v>585</v>
      </c>
      <c r="Q154" s="412">
        <v>34740500</v>
      </c>
      <c r="R154" s="338" t="s">
        <v>228</v>
      </c>
      <c r="S154" s="338"/>
      <c r="T154" s="368" t="s">
        <v>92</v>
      </c>
    </row>
    <row r="155" spans="1:30" s="287" customFormat="1" ht="30.75" customHeight="1" x14ac:dyDescent="0.25">
      <c r="A155" s="411">
        <v>9</v>
      </c>
      <c r="B155" s="628" t="s">
        <v>719</v>
      </c>
      <c r="C155" s="629"/>
      <c r="D155" s="411"/>
      <c r="E155" s="411"/>
      <c r="F155" s="411" t="s">
        <v>476</v>
      </c>
      <c r="G155" s="411"/>
      <c r="H155" s="411"/>
      <c r="I155" s="411"/>
      <c r="J155" s="538"/>
      <c r="K155" s="411"/>
      <c r="L155" s="411">
        <v>2023</v>
      </c>
      <c r="M155" s="411"/>
      <c r="N155" s="411"/>
      <c r="O155" s="411"/>
      <c r="P155" s="439" t="s">
        <v>585</v>
      </c>
      <c r="Q155" s="265">
        <v>34780500</v>
      </c>
      <c r="R155" s="338" t="s">
        <v>228</v>
      </c>
      <c r="S155" s="411"/>
      <c r="T155" s="521" t="s">
        <v>92</v>
      </c>
      <c r="U155" s="520"/>
      <c r="V155" s="520"/>
      <c r="W155" s="520"/>
      <c r="X155" s="520"/>
      <c r="Y155" s="520"/>
      <c r="Z155" s="520"/>
      <c r="AA155" s="520"/>
      <c r="AB155" s="520"/>
      <c r="AC155" s="520"/>
      <c r="AD155" s="520"/>
    </row>
    <row r="156" spans="1:30" s="287" customFormat="1" ht="38.25" customHeight="1" x14ac:dyDescent="0.25">
      <c r="A156" s="411">
        <v>10</v>
      </c>
      <c r="B156" s="628" t="s">
        <v>721</v>
      </c>
      <c r="C156" s="629"/>
      <c r="D156" s="411"/>
      <c r="E156" s="411"/>
      <c r="F156" s="411" t="s">
        <v>476</v>
      </c>
      <c r="G156" s="411">
        <v>163</v>
      </c>
      <c r="H156" s="411">
        <v>0.3</v>
      </c>
      <c r="I156" s="411"/>
      <c r="J156" s="538"/>
      <c r="K156" s="411"/>
      <c r="L156" s="411">
        <v>2023</v>
      </c>
      <c r="M156" s="411"/>
      <c r="N156" s="411"/>
      <c r="O156" s="411"/>
      <c r="P156" s="439" t="s">
        <v>722</v>
      </c>
      <c r="Q156" s="265">
        <v>75000000</v>
      </c>
      <c r="R156" s="338" t="s">
        <v>228</v>
      </c>
      <c r="S156" s="411"/>
      <c r="T156" s="487" t="s">
        <v>38</v>
      </c>
      <c r="U156" s="520"/>
      <c r="V156" s="520"/>
      <c r="W156" s="520"/>
      <c r="X156" s="520"/>
      <c r="Y156" s="520"/>
      <c r="Z156" s="520"/>
      <c r="AA156" s="520"/>
      <c r="AB156" s="520"/>
      <c r="AC156" s="520"/>
      <c r="AD156" s="520"/>
    </row>
    <row r="157" spans="1:30" s="287" customFormat="1" ht="37.5" customHeight="1" x14ac:dyDescent="0.25">
      <c r="A157" s="411">
        <v>11</v>
      </c>
      <c r="B157" s="628" t="s">
        <v>723</v>
      </c>
      <c r="C157" s="629"/>
      <c r="D157" s="411"/>
      <c r="E157" s="411"/>
      <c r="F157" s="411" t="s">
        <v>476</v>
      </c>
      <c r="G157" s="411">
        <f>68.5+94</f>
        <v>162.5</v>
      </c>
      <c r="H157" s="411">
        <f>2.36+2.63</f>
        <v>4.99</v>
      </c>
      <c r="I157" s="411"/>
      <c r="J157" s="519"/>
      <c r="K157" s="411"/>
      <c r="L157" s="411">
        <v>2023</v>
      </c>
      <c r="M157" s="411"/>
      <c r="N157" s="411"/>
      <c r="O157" s="411"/>
      <c r="P157" s="539" t="s">
        <v>724</v>
      </c>
      <c r="Q157" s="265">
        <v>70698000</v>
      </c>
      <c r="R157" s="338" t="s">
        <v>228</v>
      </c>
      <c r="S157" s="411"/>
      <c r="T157" s="487" t="s">
        <v>38</v>
      </c>
      <c r="U157" s="520"/>
      <c r="V157" s="520"/>
      <c r="W157" s="520"/>
      <c r="X157" s="520"/>
      <c r="Y157" s="520"/>
      <c r="Z157" s="520"/>
      <c r="AA157" s="520"/>
      <c r="AB157" s="520"/>
      <c r="AC157" s="520"/>
      <c r="AD157" s="520"/>
    </row>
    <row r="158" spans="1:30" x14ac:dyDescent="0.25">
      <c r="A158" s="411"/>
      <c r="B158" s="508"/>
      <c r="C158" s="509"/>
      <c r="D158" s="335"/>
      <c r="E158" s="335"/>
      <c r="F158" s="335"/>
      <c r="G158" s="336"/>
      <c r="H158" s="336"/>
      <c r="I158" s="336"/>
      <c r="J158" s="337"/>
      <c r="K158" s="335"/>
      <c r="L158" s="335"/>
      <c r="M158" s="335"/>
      <c r="N158" s="335"/>
      <c r="O158" s="335"/>
      <c r="P158" s="338"/>
      <c r="Q158" s="339"/>
      <c r="R158" s="338"/>
      <c r="S158" s="335"/>
      <c r="T158" s="103"/>
    </row>
    <row r="159" spans="1:30" x14ac:dyDescent="0.25">
      <c r="A159" s="415"/>
      <c r="B159" s="630" t="s">
        <v>706</v>
      </c>
      <c r="C159" s="631"/>
      <c r="D159" s="416"/>
      <c r="E159" s="416"/>
      <c r="F159" s="416"/>
      <c r="G159" s="417"/>
      <c r="H159" s="417"/>
      <c r="I159" s="417"/>
      <c r="J159" s="418"/>
      <c r="K159" s="416"/>
      <c r="L159" s="416"/>
      <c r="M159" s="416"/>
      <c r="N159" s="416"/>
      <c r="O159" s="416"/>
      <c r="P159" s="419"/>
      <c r="Q159" s="420">
        <f>SUM(Q147:Q158)</f>
        <v>622101900</v>
      </c>
      <c r="R159" s="419"/>
      <c r="S159" s="416"/>
      <c r="T159" s="103"/>
    </row>
    <row r="160" spans="1:30" x14ac:dyDescent="0.25">
      <c r="A160" s="632" t="s">
        <v>266</v>
      </c>
      <c r="B160" s="633"/>
      <c r="C160" s="634"/>
      <c r="D160" s="335"/>
      <c r="E160" s="335"/>
      <c r="F160" s="335"/>
      <c r="G160" s="336"/>
      <c r="H160" s="336"/>
      <c r="I160" s="336"/>
      <c r="J160" s="337"/>
      <c r="K160" s="335"/>
      <c r="L160" s="335"/>
      <c r="M160" s="335"/>
      <c r="N160" s="335"/>
      <c r="O160" s="335"/>
      <c r="P160" s="338"/>
      <c r="Q160" s="340">
        <f>Q144+Q159</f>
        <v>5353790100</v>
      </c>
      <c r="R160" s="338"/>
      <c r="S160" s="85"/>
      <c r="T160" s="104"/>
      <c r="U160" s="517">
        <f>5208092100-Q160</f>
        <v>-145698000</v>
      </c>
      <c r="V160" s="517"/>
    </row>
    <row r="161" spans="1:20" ht="15.75" x14ac:dyDescent="0.25">
      <c r="A161" s="602" t="s">
        <v>726</v>
      </c>
      <c r="B161" s="602"/>
      <c r="C161" s="602"/>
      <c r="D161" s="602"/>
      <c r="E161" s="602"/>
      <c r="F161" s="602"/>
      <c r="G161" s="602"/>
      <c r="H161" s="602"/>
      <c r="I161" s="602"/>
      <c r="J161" s="602"/>
      <c r="K161" s="602"/>
      <c r="L161" s="602"/>
      <c r="M161" s="602"/>
      <c r="N161" s="602"/>
      <c r="O161" s="602"/>
      <c r="P161" s="602"/>
      <c r="Q161" s="602"/>
      <c r="R161" s="602"/>
      <c r="S161" s="603"/>
      <c r="T161" s="103"/>
    </row>
    <row r="162" spans="1:20" ht="38.25" customHeight="1" x14ac:dyDescent="0.25">
      <c r="A162" s="411">
        <v>1</v>
      </c>
      <c r="B162" s="628" t="s">
        <v>734</v>
      </c>
      <c r="C162" s="629"/>
      <c r="D162" s="338"/>
      <c r="E162" s="338"/>
      <c r="F162" s="338" t="s">
        <v>476</v>
      </c>
      <c r="G162" s="338">
        <v>400</v>
      </c>
      <c r="H162" s="338">
        <v>2.5</v>
      </c>
      <c r="I162" s="338">
        <v>0.02</v>
      </c>
      <c r="J162" s="411"/>
      <c r="K162" s="486"/>
      <c r="L162" s="411">
        <v>2024</v>
      </c>
      <c r="M162" s="338"/>
      <c r="N162" s="338"/>
      <c r="O162" s="338"/>
      <c r="P162" s="539" t="s">
        <v>735</v>
      </c>
      <c r="Q162" s="412">
        <v>99790000</v>
      </c>
      <c r="R162" s="338" t="s">
        <v>228</v>
      </c>
      <c r="S162" s="338"/>
      <c r="T162" s="368" t="s">
        <v>38</v>
      </c>
    </row>
    <row r="163" spans="1:20" ht="25.5" customHeight="1" x14ac:dyDescent="0.25">
      <c r="A163" s="411">
        <v>2</v>
      </c>
      <c r="B163" s="628" t="s">
        <v>736</v>
      </c>
      <c r="C163" s="629"/>
      <c r="D163" s="338"/>
      <c r="E163" s="338"/>
      <c r="F163" s="338" t="s">
        <v>476</v>
      </c>
      <c r="G163" s="338">
        <v>400</v>
      </c>
      <c r="H163" s="338">
        <v>3</v>
      </c>
      <c r="I163" s="488">
        <v>0.02</v>
      </c>
      <c r="J163" s="338"/>
      <c r="K163" s="338"/>
      <c r="L163" s="411">
        <v>2024</v>
      </c>
      <c r="M163" s="338"/>
      <c r="N163" s="338"/>
      <c r="O163" s="338"/>
      <c r="P163" s="338" t="s">
        <v>585</v>
      </c>
      <c r="Q163" s="412">
        <v>117964000</v>
      </c>
      <c r="R163" s="338" t="s">
        <v>228</v>
      </c>
      <c r="S163" s="338"/>
      <c r="T163" s="368" t="s">
        <v>38</v>
      </c>
    </row>
    <row r="164" spans="1:20" ht="36.75" customHeight="1" x14ac:dyDescent="0.25">
      <c r="A164" s="411">
        <v>3</v>
      </c>
      <c r="B164" s="628" t="s">
        <v>737</v>
      </c>
      <c r="C164" s="629"/>
      <c r="D164" s="338"/>
      <c r="E164" s="338"/>
      <c r="F164" s="338" t="s">
        <v>476</v>
      </c>
      <c r="G164" s="338">
        <v>234</v>
      </c>
      <c r="H164" s="338">
        <v>3</v>
      </c>
      <c r="I164" s="488">
        <v>0.02</v>
      </c>
      <c r="J164" s="489"/>
      <c r="K164" s="338"/>
      <c r="L164" s="411">
        <v>2024</v>
      </c>
      <c r="M164" s="338"/>
      <c r="N164" s="338"/>
      <c r="O164" s="338"/>
      <c r="P164" s="338" t="s">
        <v>585</v>
      </c>
      <c r="Q164" s="412">
        <v>70172000</v>
      </c>
      <c r="R164" s="338" t="s">
        <v>228</v>
      </c>
      <c r="S164" s="338"/>
      <c r="T164" s="368" t="s">
        <v>38</v>
      </c>
    </row>
    <row r="165" spans="1:20" ht="37.5" customHeight="1" x14ac:dyDescent="0.25">
      <c r="A165" s="411">
        <v>4</v>
      </c>
      <c r="B165" s="628" t="s">
        <v>738</v>
      </c>
      <c r="C165" s="629"/>
      <c r="D165" s="338"/>
      <c r="E165" s="338"/>
      <c r="F165" s="338" t="s">
        <v>476</v>
      </c>
      <c r="G165" s="338">
        <v>234</v>
      </c>
      <c r="H165" s="338">
        <v>3</v>
      </c>
      <c r="I165" s="488">
        <v>0.02</v>
      </c>
      <c r="J165" s="489"/>
      <c r="K165" s="338"/>
      <c r="L165" s="411">
        <v>2024</v>
      </c>
      <c r="M165" s="338"/>
      <c r="N165" s="338"/>
      <c r="O165" s="338"/>
      <c r="P165" s="338" t="s">
        <v>585</v>
      </c>
      <c r="Q165" s="412">
        <v>59251000</v>
      </c>
      <c r="R165" s="338" t="s">
        <v>228</v>
      </c>
      <c r="S165" s="338"/>
      <c r="T165" s="368" t="s">
        <v>38</v>
      </c>
    </row>
    <row r="166" spans="1:20" ht="43.5" customHeight="1" x14ac:dyDescent="0.25">
      <c r="A166" s="411">
        <v>5</v>
      </c>
      <c r="B166" s="628" t="s">
        <v>739</v>
      </c>
      <c r="C166" s="629"/>
      <c r="D166" s="338"/>
      <c r="E166" s="338"/>
      <c r="F166" s="338" t="s">
        <v>476</v>
      </c>
      <c r="G166" s="338">
        <v>500</v>
      </c>
      <c r="H166" s="338">
        <v>3</v>
      </c>
      <c r="I166" s="488">
        <v>0.02</v>
      </c>
      <c r="J166" s="489"/>
      <c r="K166" s="338"/>
      <c r="L166" s="411">
        <v>2024</v>
      </c>
      <c r="M166" s="338"/>
      <c r="N166" s="338"/>
      <c r="O166" s="338"/>
      <c r="P166" s="338" t="s">
        <v>585</v>
      </c>
      <c r="Q166" s="412">
        <v>134523000</v>
      </c>
      <c r="R166" s="338" t="s">
        <v>228</v>
      </c>
      <c r="S166" s="338"/>
      <c r="T166" s="368" t="s">
        <v>38</v>
      </c>
    </row>
    <row r="167" spans="1:20" ht="28.5" customHeight="1" x14ac:dyDescent="0.25">
      <c r="A167" s="411">
        <v>6</v>
      </c>
      <c r="B167" s="628" t="s">
        <v>740</v>
      </c>
      <c r="C167" s="629"/>
      <c r="D167" s="338"/>
      <c r="E167" s="338"/>
      <c r="F167" s="338" t="s">
        <v>476</v>
      </c>
      <c r="G167" s="338">
        <v>150</v>
      </c>
      <c r="H167" s="338" t="s">
        <v>741</v>
      </c>
      <c r="I167" s="488"/>
      <c r="J167" s="489"/>
      <c r="K167" s="338"/>
      <c r="L167" s="411">
        <v>2024</v>
      </c>
      <c r="M167" s="338"/>
      <c r="N167" s="338"/>
      <c r="O167" s="338"/>
      <c r="P167" s="338" t="s">
        <v>585</v>
      </c>
      <c r="Q167" s="412">
        <v>67476000</v>
      </c>
      <c r="R167" s="338" t="s">
        <v>228</v>
      </c>
      <c r="S167" s="338"/>
      <c r="T167" s="368" t="s">
        <v>38</v>
      </c>
    </row>
    <row r="168" spans="1:20" ht="30" customHeight="1" x14ac:dyDescent="0.25">
      <c r="A168" s="411">
        <v>7</v>
      </c>
      <c r="B168" s="628" t="s">
        <v>742</v>
      </c>
      <c r="C168" s="629"/>
      <c r="D168" s="338"/>
      <c r="E168" s="338"/>
      <c r="F168" s="338" t="s">
        <v>476</v>
      </c>
      <c r="G168" s="338">
        <v>70</v>
      </c>
      <c r="H168" s="338">
        <v>0.3</v>
      </c>
      <c r="I168" s="488"/>
      <c r="J168" s="489"/>
      <c r="K168" s="486"/>
      <c r="L168" s="411">
        <v>2024</v>
      </c>
      <c r="M168" s="338"/>
      <c r="N168" s="338"/>
      <c r="O168" s="338"/>
      <c r="P168" s="338" t="s">
        <v>585</v>
      </c>
      <c r="Q168" s="412">
        <v>50735000</v>
      </c>
      <c r="R168" s="338" t="s">
        <v>228</v>
      </c>
      <c r="S168" s="338"/>
      <c r="T168" s="368" t="s">
        <v>38</v>
      </c>
    </row>
    <row r="169" spans="1:20" ht="27" customHeight="1" x14ac:dyDescent="0.25">
      <c r="A169" s="411">
        <v>8</v>
      </c>
      <c r="B169" s="628" t="s">
        <v>743</v>
      </c>
      <c r="C169" s="629"/>
      <c r="D169" s="338"/>
      <c r="E169" s="338"/>
      <c r="F169" s="338" t="s">
        <v>476</v>
      </c>
      <c r="G169" s="338">
        <v>75</v>
      </c>
      <c r="H169" s="338">
        <v>2</v>
      </c>
      <c r="I169" s="488">
        <v>0.12</v>
      </c>
      <c r="J169" s="489"/>
      <c r="K169" s="486"/>
      <c r="L169" s="411">
        <v>2024</v>
      </c>
      <c r="M169" s="338"/>
      <c r="N169" s="338"/>
      <c r="O169" s="338"/>
      <c r="P169" s="338" t="s">
        <v>585</v>
      </c>
      <c r="Q169" s="412">
        <v>26031750</v>
      </c>
      <c r="R169" s="338" t="s">
        <v>228</v>
      </c>
      <c r="S169" s="338"/>
      <c r="T169" s="368" t="s">
        <v>38</v>
      </c>
    </row>
    <row r="170" spans="1:20" ht="37.5" customHeight="1" x14ac:dyDescent="0.25">
      <c r="A170" s="411">
        <v>9</v>
      </c>
      <c r="B170" s="628" t="s">
        <v>744</v>
      </c>
      <c r="C170" s="629"/>
      <c r="D170" s="411"/>
      <c r="E170" s="411"/>
      <c r="F170" s="411" t="s">
        <v>476</v>
      </c>
      <c r="G170" s="411">
        <v>170</v>
      </c>
      <c r="H170" s="411">
        <v>3</v>
      </c>
      <c r="I170" s="411">
        <v>0.12</v>
      </c>
      <c r="J170" s="538"/>
      <c r="K170" s="411"/>
      <c r="L170" s="411">
        <v>2024</v>
      </c>
      <c r="M170" s="411"/>
      <c r="N170" s="411"/>
      <c r="O170" s="411"/>
      <c r="P170" s="439" t="s">
        <v>585</v>
      </c>
      <c r="Q170" s="265">
        <v>78702000</v>
      </c>
      <c r="R170" s="338" t="s">
        <v>228</v>
      </c>
      <c r="S170" s="411"/>
      <c r="T170" s="368" t="s">
        <v>38</v>
      </c>
    </row>
    <row r="171" spans="1:20" ht="28.5" customHeight="1" x14ac:dyDescent="0.25">
      <c r="A171" s="411">
        <v>10</v>
      </c>
      <c r="B171" s="628" t="s">
        <v>745</v>
      </c>
      <c r="C171" s="629"/>
      <c r="D171" s="411"/>
      <c r="E171" s="411"/>
      <c r="F171" s="411" t="s">
        <v>476</v>
      </c>
      <c r="G171" s="411">
        <v>150</v>
      </c>
      <c r="H171" s="411">
        <v>0.3</v>
      </c>
      <c r="I171" s="411"/>
      <c r="J171" s="538"/>
      <c r="K171" s="411"/>
      <c r="L171" s="411">
        <v>2024</v>
      </c>
      <c r="M171" s="411"/>
      <c r="N171" s="411"/>
      <c r="O171" s="411"/>
      <c r="P171" s="439" t="s">
        <v>585</v>
      </c>
      <c r="Q171" s="265">
        <v>42652000</v>
      </c>
      <c r="R171" s="338" t="s">
        <v>228</v>
      </c>
      <c r="S171" s="411"/>
      <c r="T171" s="368" t="s">
        <v>38</v>
      </c>
    </row>
    <row r="172" spans="1:20" x14ac:dyDescent="0.25">
      <c r="A172" s="411"/>
      <c r="B172" s="542"/>
      <c r="C172" s="543"/>
      <c r="D172" s="335"/>
      <c r="E172" s="335"/>
      <c r="F172" s="335"/>
      <c r="G172" s="336"/>
      <c r="H172" s="336"/>
      <c r="I172" s="336"/>
      <c r="J172" s="337"/>
      <c r="K172" s="335"/>
      <c r="L172" s="335"/>
      <c r="M172" s="335"/>
      <c r="N172" s="335"/>
      <c r="O172" s="335"/>
      <c r="P172" s="338"/>
      <c r="Q172" s="339"/>
      <c r="R172" s="338"/>
      <c r="S172" s="335"/>
      <c r="T172" s="103"/>
    </row>
    <row r="173" spans="1:20" x14ac:dyDescent="0.25">
      <c r="A173" s="415"/>
      <c r="B173" s="630" t="s">
        <v>733</v>
      </c>
      <c r="C173" s="631"/>
      <c r="D173" s="416"/>
      <c r="E173" s="416"/>
      <c r="F173" s="416"/>
      <c r="G173" s="417"/>
      <c r="H173" s="417"/>
      <c r="I173" s="417"/>
      <c r="J173" s="418"/>
      <c r="K173" s="416"/>
      <c r="L173" s="416"/>
      <c r="M173" s="416"/>
      <c r="N173" s="416"/>
      <c r="O173" s="416"/>
      <c r="P173" s="419"/>
      <c r="Q173" s="420">
        <f>SUM(Q162:Q172)</f>
        <v>747296750</v>
      </c>
      <c r="R173" s="419"/>
      <c r="S173" s="416"/>
      <c r="T173" s="103"/>
    </row>
    <row r="174" spans="1:20" x14ac:dyDescent="0.25">
      <c r="A174" s="632" t="s">
        <v>266</v>
      </c>
      <c r="B174" s="633"/>
      <c r="C174" s="634"/>
      <c r="D174" s="335"/>
      <c r="E174" s="335"/>
      <c r="F174" s="335"/>
      <c r="G174" s="336"/>
      <c r="H174" s="336"/>
      <c r="I174" s="336"/>
      <c r="J174" s="337"/>
      <c r="K174" s="335"/>
      <c r="L174" s="335"/>
      <c r="M174" s="335"/>
      <c r="N174" s="335"/>
      <c r="O174" s="335"/>
      <c r="P174" s="338"/>
      <c r="Q174" s="340">
        <f>Q160+Q173</f>
        <v>6101086850</v>
      </c>
      <c r="R174" s="338"/>
      <c r="S174" s="85"/>
      <c r="T174" s="104"/>
    </row>
    <row r="175" spans="1:20" ht="15.75" x14ac:dyDescent="0.25">
      <c r="A175" s="602" t="s">
        <v>747</v>
      </c>
      <c r="B175" s="602"/>
      <c r="C175" s="602"/>
      <c r="D175" s="602"/>
      <c r="E175" s="602"/>
      <c r="F175" s="602"/>
      <c r="G175" s="602"/>
      <c r="H175" s="602"/>
      <c r="I175" s="602"/>
      <c r="J175" s="602"/>
      <c r="K175" s="602"/>
      <c r="L175" s="602"/>
      <c r="M175" s="602"/>
      <c r="N175" s="602"/>
      <c r="O175" s="602"/>
      <c r="P175" s="602"/>
      <c r="Q175" s="602"/>
      <c r="R175" s="602"/>
      <c r="S175" s="603"/>
      <c r="T175" s="103"/>
    </row>
    <row r="176" spans="1:20" ht="26.25" customHeight="1" x14ac:dyDescent="0.25">
      <c r="A176" s="411">
        <v>1</v>
      </c>
      <c r="B176" s="628" t="s">
        <v>777</v>
      </c>
      <c r="C176" s="629"/>
      <c r="D176" s="338"/>
      <c r="E176" s="338"/>
      <c r="F176" s="338" t="s">
        <v>476</v>
      </c>
      <c r="G176" s="338">
        <v>764</v>
      </c>
      <c r="H176" s="338">
        <v>2.8</v>
      </c>
      <c r="I176" s="338">
        <v>0.02</v>
      </c>
      <c r="J176" s="411"/>
      <c r="K176" s="486"/>
      <c r="L176" s="411">
        <v>2025</v>
      </c>
      <c r="M176" s="338"/>
      <c r="N176" s="338"/>
      <c r="O176" s="338"/>
      <c r="P176" s="539" t="s">
        <v>585</v>
      </c>
      <c r="Q176" s="412">
        <v>195091000</v>
      </c>
      <c r="R176" s="338" t="s">
        <v>228</v>
      </c>
      <c r="S176" s="338"/>
      <c r="T176" s="487" t="s">
        <v>38</v>
      </c>
    </row>
    <row r="177" spans="1:20" ht="39.75" customHeight="1" x14ac:dyDescent="0.25">
      <c r="A177" s="411">
        <v>2</v>
      </c>
      <c r="B177" s="628" t="s">
        <v>754</v>
      </c>
      <c r="C177" s="629"/>
      <c r="D177" s="338"/>
      <c r="E177" s="338"/>
      <c r="F177" s="338" t="s">
        <v>476</v>
      </c>
      <c r="G177" s="338">
        <v>284</v>
      </c>
      <c r="H177" s="338">
        <v>2.8</v>
      </c>
      <c r="I177" s="488">
        <v>0.02</v>
      </c>
      <c r="J177" s="338"/>
      <c r="K177" s="338"/>
      <c r="L177" s="411">
        <v>2025</v>
      </c>
      <c r="M177" s="338"/>
      <c r="N177" s="338"/>
      <c r="O177" s="338"/>
      <c r="P177" s="338" t="s">
        <v>585</v>
      </c>
      <c r="Q177" s="412">
        <v>71692000</v>
      </c>
      <c r="R177" s="338" t="s">
        <v>228</v>
      </c>
      <c r="S177" s="338"/>
      <c r="T177" s="487" t="s">
        <v>38</v>
      </c>
    </row>
    <row r="178" spans="1:20" ht="39.75" customHeight="1" x14ac:dyDescent="0.25">
      <c r="A178" s="411">
        <v>3</v>
      </c>
      <c r="B178" s="628" t="s">
        <v>772</v>
      </c>
      <c r="C178" s="629"/>
      <c r="D178" s="338"/>
      <c r="E178" s="338"/>
      <c r="F178" s="338" t="s">
        <v>476</v>
      </c>
      <c r="G178" s="338"/>
      <c r="H178" s="338"/>
      <c r="I178" s="488"/>
      <c r="J178" s="338"/>
      <c r="K178" s="338"/>
      <c r="L178" s="411">
        <v>2025</v>
      </c>
      <c r="M178" s="338"/>
      <c r="N178" s="338"/>
      <c r="O178" s="338"/>
      <c r="P178" s="338" t="s">
        <v>585</v>
      </c>
      <c r="Q178" s="412">
        <v>31051000</v>
      </c>
      <c r="R178" s="338" t="s">
        <v>228</v>
      </c>
      <c r="S178" s="338"/>
      <c r="T178" s="368" t="s">
        <v>92</v>
      </c>
    </row>
    <row r="179" spans="1:20" ht="39.75" customHeight="1" x14ac:dyDescent="0.25">
      <c r="A179" s="411">
        <v>4</v>
      </c>
      <c r="B179" s="628" t="s">
        <v>755</v>
      </c>
      <c r="C179" s="629"/>
      <c r="D179" s="338"/>
      <c r="E179" s="338"/>
      <c r="F179" s="338" t="s">
        <v>476</v>
      </c>
      <c r="G179" s="338">
        <v>435</v>
      </c>
      <c r="H179" s="338">
        <v>2.5</v>
      </c>
      <c r="I179" s="488">
        <v>0.02</v>
      </c>
      <c r="J179" s="489"/>
      <c r="K179" s="338"/>
      <c r="L179" s="411">
        <v>2025</v>
      </c>
      <c r="M179" s="338"/>
      <c r="N179" s="338"/>
      <c r="O179" s="338"/>
      <c r="P179" s="338" t="s">
        <v>585</v>
      </c>
      <c r="Q179" s="412">
        <v>95889000</v>
      </c>
      <c r="R179" s="338" t="s">
        <v>228</v>
      </c>
      <c r="S179" s="338"/>
      <c r="T179" s="487" t="s">
        <v>38</v>
      </c>
    </row>
    <row r="180" spans="1:20" ht="27.75" customHeight="1" x14ac:dyDescent="0.25">
      <c r="A180" s="411">
        <v>5</v>
      </c>
      <c r="B180" s="628" t="s">
        <v>756</v>
      </c>
      <c r="C180" s="629"/>
      <c r="D180" s="338"/>
      <c r="E180" s="338"/>
      <c r="F180" s="338" t="s">
        <v>476</v>
      </c>
      <c r="G180" s="338">
        <v>170</v>
      </c>
      <c r="H180" s="338">
        <v>2.7</v>
      </c>
      <c r="I180" s="488">
        <v>0.02</v>
      </c>
      <c r="J180" s="489"/>
      <c r="K180" s="338"/>
      <c r="L180" s="411">
        <v>2025</v>
      </c>
      <c r="M180" s="338"/>
      <c r="N180" s="338"/>
      <c r="O180" s="338"/>
      <c r="P180" s="338" t="s">
        <v>585</v>
      </c>
      <c r="Q180" s="412">
        <v>42118000</v>
      </c>
      <c r="R180" s="338" t="s">
        <v>228</v>
      </c>
      <c r="S180" s="338"/>
      <c r="T180" s="487" t="s">
        <v>38</v>
      </c>
    </row>
    <row r="181" spans="1:20" ht="42" customHeight="1" x14ac:dyDescent="0.25">
      <c r="A181" s="411">
        <v>6</v>
      </c>
      <c r="B181" s="628" t="s">
        <v>757</v>
      </c>
      <c r="C181" s="629"/>
      <c r="D181" s="338"/>
      <c r="E181" s="338"/>
      <c r="F181" s="338" t="s">
        <v>476</v>
      </c>
      <c r="G181" s="338">
        <v>50</v>
      </c>
      <c r="H181" s="338">
        <v>0.5</v>
      </c>
      <c r="I181" s="488">
        <v>0.12</v>
      </c>
      <c r="J181" s="489"/>
      <c r="K181" s="338"/>
      <c r="L181" s="411">
        <v>2025</v>
      </c>
      <c r="M181" s="338"/>
      <c r="N181" s="338"/>
      <c r="O181" s="338"/>
      <c r="P181" s="338" t="s">
        <v>585</v>
      </c>
      <c r="Q181" s="412">
        <v>9557500</v>
      </c>
      <c r="R181" s="338" t="s">
        <v>228</v>
      </c>
      <c r="S181" s="338"/>
      <c r="T181" s="487" t="s">
        <v>38</v>
      </c>
    </row>
    <row r="182" spans="1:20" ht="36.75" customHeight="1" x14ac:dyDescent="0.25">
      <c r="A182" s="411">
        <v>7</v>
      </c>
      <c r="B182" s="628" t="s">
        <v>758</v>
      </c>
      <c r="C182" s="629"/>
      <c r="D182" s="338"/>
      <c r="E182" s="338"/>
      <c r="F182" s="338" t="s">
        <v>476</v>
      </c>
      <c r="G182" s="338">
        <v>150</v>
      </c>
      <c r="H182" s="563" t="s">
        <v>741</v>
      </c>
      <c r="I182" s="488">
        <v>0.5</v>
      </c>
      <c r="J182" s="489"/>
      <c r="K182" s="338"/>
      <c r="L182" s="411">
        <v>2025</v>
      </c>
      <c r="M182" s="338"/>
      <c r="N182" s="338"/>
      <c r="O182" s="338"/>
      <c r="P182" s="338" t="s">
        <v>585</v>
      </c>
      <c r="Q182" s="412">
        <v>43828000</v>
      </c>
      <c r="R182" s="338" t="s">
        <v>228</v>
      </c>
      <c r="S182" s="338"/>
      <c r="T182" s="487" t="s">
        <v>38</v>
      </c>
    </row>
    <row r="183" spans="1:20" ht="40.5" customHeight="1" x14ac:dyDescent="0.25">
      <c r="A183" s="411">
        <v>8</v>
      </c>
      <c r="B183" s="628" t="s">
        <v>759</v>
      </c>
      <c r="C183" s="629"/>
      <c r="D183" s="338"/>
      <c r="E183" s="338"/>
      <c r="F183" s="338" t="s">
        <v>476</v>
      </c>
      <c r="G183" s="338">
        <v>103</v>
      </c>
      <c r="H183" s="338">
        <v>0.3</v>
      </c>
      <c r="I183" s="488">
        <v>1</v>
      </c>
      <c r="J183" s="489"/>
      <c r="K183" s="486"/>
      <c r="L183" s="411">
        <v>2025</v>
      </c>
      <c r="M183" s="338"/>
      <c r="N183" s="338"/>
      <c r="O183" s="338"/>
      <c r="P183" s="338" t="s">
        <v>585</v>
      </c>
      <c r="Q183" s="412">
        <v>46475000</v>
      </c>
      <c r="R183" s="338" t="s">
        <v>228</v>
      </c>
      <c r="S183" s="338"/>
      <c r="T183" s="487" t="s">
        <v>38</v>
      </c>
    </row>
    <row r="184" spans="1:20" ht="36.75" customHeight="1" x14ac:dyDescent="0.25">
      <c r="A184" s="411">
        <v>9</v>
      </c>
      <c r="B184" s="628" t="s">
        <v>760</v>
      </c>
      <c r="C184" s="629"/>
      <c r="D184" s="338"/>
      <c r="E184" s="338"/>
      <c r="F184" s="338" t="s">
        <v>476</v>
      </c>
      <c r="G184" s="338">
        <v>65</v>
      </c>
      <c r="H184" s="338">
        <v>3</v>
      </c>
      <c r="I184" s="488">
        <v>0.12</v>
      </c>
      <c r="J184" s="489"/>
      <c r="K184" s="486"/>
      <c r="L184" s="411">
        <v>2025</v>
      </c>
      <c r="M184" s="338"/>
      <c r="N184" s="338"/>
      <c r="O184" s="338"/>
      <c r="P184" s="338" t="s">
        <v>644</v>
      </c>
      <c r="Q184" s="412">
        <v>24844000</v>
      </c>
      <c r="R184" s="338" t="s">
        <v>228</v>
      </c>
      <c r="S184" s="338"/>
      <c r="T184" s="487" t="s">
        <v>38</v>
      </c>
    </row>
    <row r="185" spans="1:20" ht="37.5" customHeight="1" x14ac:dyDescent="0.25">
      <c r="A185" s="411">
        <v>10</v>
      </c>
      <c r="B185" s="628" t="s">
        <v>762</v>
      </c>
      <c r="C185" s="629"/>
      <c r="D185" s="411"/>
      <c r="E185" s="411"/>
      <c r="F185" s="411" t="s">
        <v>476</v>
      </c>
      <c r="G185" s="411">
        <v>195</v>
      </c>
      <c r="H185" s="411">
        <v>2.7</v>
      </c>
      <c r="I185" s="563">
        <v>0.02</v>
      </c>
      <c r="J185" s="538"/>
      <c r="K185" s="411"/>
      <c r="L185" s="411">
        <v>2025</v>
      </c>
      <c r="M185" s="411"/>
      <c r="N185" s="411"/>
      <c r="O185" s="411"/>
      <c r="P185" s="439" t="s">
        <v>644</v>
      </c>
      <c r="Q185" s="265">
        <v>48170000</v>
      </c>
      <c r="R185" s="338" t="s">
        <v>228</v>
      </c>
      <c r="S185" s="411"/>
      <c r="T185" s="487" t="s">
        <v>38</v>
      </c>
    </row>
    <row r="186" spans="1:20" ht="37.5" customHeight="1" x14ac:dyDescent="0.25">
      <c r="A186" s="411">
        <v>11</v>
      </c>
      <c r="B186" s="628" t="s">
        <v>761</v>
      </c>
      <c r="C186" s="629"/>
      <c r="D186" s="411"/>
      <c r="E186" s="411"/>
      <c r="F186" s="411" t="s">
        <v>476</v>
      </c>
      <c r="G186" s="411">
        <v>75</v>
      </c>
      <c r="H186" s="411">
        <v>2</v>
      </c>
      <c r="I186" s="488">
        <v>0.12</v>
      </c>
      <c r="J186" s="538"/>
      <c r="K186" s="411"/>
      <c r="L186" s="411">
        <v>2025</v>
      </c>
      <c r="M186" s="411"/>
      <c r="N186" s="411"/>
      <c r="O186" s="411"/>
      <c r="P186" s="439" t="s">
        <v>585</v>
      </c>
      <c r="Q186" s="265">
        <v>21266000</v>
      </c>
      <c r="R186" s="338" t="s">
        <v>228</v>
      </c>
      <c r="S186" s="411"/>
      <c r="T186" s="487" t="s">
        <v>38</v>
      </c>
    </row>
    <row r="187" spans="1:20" ht="37.5" customHeight="1" x14ac:dyDescent="0.25">
      <c r="A187" s="411">
        <v>12</v>
      </c>
      <c r="B187" s="628" t="s">
        <v>763</v>
      </c>
      <c r="C187" s="629"/>
      <c r="D187" s="411"/>
      <c r="E187" s="411"/>
      <c r="F187" s="411" t="s">
        <v>476</v>
      </c>
      <c r="G187" s="411">
        <v>324</v>
      </c>
      <c r="H187" s="411">
        <v>2.8</v>
      </c>
      <c r="I187" s="563">
        <v>0.02</v>
      </c>
      <c r="J187" s="538"/>
      <c r="K187" s="411"/>
      <c r="L187" s="411">
        <v>2025</v>
      </c>
      <c r="M187" s="411"/>
      <c r="N187" s="411"/>
      <c r="O187" s="411"/>
      <c r="P187" s="439" t="s">
        <v>585</v>
      </c>
      <c r="Q187" s="265">
        <v>85726000</v>
      </c>
      <c r="R187" s="338" t="s">
        <v>228</v>
      </c>
      <c r="S187" s="411"/>
      <c r="T187" s="487" t="s">
        <v>38</v>
      </c>
    </row>
    <row r="188" spans="1:20" ht="37.5" customHeight="1" x14ac:dyDescent="0.25">
      <c r="A188" s="411">
        <v>13</v>
      </c>
      <c r="B188" s="628" t="s">
        <v>764</v>
      </c>
      <c r="C188" s="629"/>
      <c r="D188" s="411"/>
      <c r="E188" s="411"/>
      <c r="F188" s="411" t="s">
        <v>476</v>
      </c>
      <c r="G188" s="411">
        <v>75.5</v>
      </c>
      <c r="H188" s="411">
        <v>3</v>
      </c>
      <c r="I188" s="488">
        <v>0.12</v>
      </c>
      <c r="J188" s="538"/>
      <c r="K188" s="411"/>
      <c r="L188" s="411">
        <v>2025</v>
      </c>
      <c r="M188" s="411"/>
      <c r="N188" s="411"/>
      <c r="O188" s="411"/>
      <c r="P188" s="439" t="s">
        <v>644</v>
      </c>
      <c r="Q188" s="265">
        <v>48704000</v>
      </c>
      <c r="R188" s="338" t="s">
        <v>228</v>
      </c>
      <c r="S188" s="411"/>
      <c r="T188" s="487" t="s">
        <v>38</v>
      </c>
    </row>
    <row r="189" spans="1:20" ht="37.5" customHeight="1" x14ac:dyDescent="0.25">
      <c r="A189" s="411">
        <v>14</v>
      </c>
      <c r="B189" s="628" t="s">
        <v>765</v>
      </c>
      <c r="C189" s="629"/>
      <c r="D189" s="411"/>
      <c r="E189" s="411"/>
      <c r="F189" s="411" t="s">
        <v>476</v>
      </c>
      <c r="G189" s="411">
        <v>41</v>
      </c>
      <c r="H189" s="411">
        <v>3.4</v>
      </c>
      <c r="I189" s="488">
        <v>0.12</v>
      </c>
      <c r="J189" s="538"/>
      <c r="K189" s="411"/>
      <c r="L189" s="411">
        <v>2025</v>
      </c>
      <c r="M189" s="411"/>
      <c r="N189" s="411"/>
      <c r="O189" s="411"/>
      <c r="P189" s="439" t="s">
        <v>644</v>
      </c>
      <c r="Q189" s="265">
        <v>14628000</v>
      </c>
      <c r="R189" s="338" t="s">
        <v>228</v>
      </c>
      <c r="S189" s="411"/>
      <c r="T189" s="487" t="s">
        <v>38</v>
      </c>
    </row>
    <row r="190" spans="1:20" ht="37.5" customHeight="1" x14ac:dyDescent="0.25">
      <c r="A190" s="411">
        <v>15</v>
      </c>
      <c r="B190" s="628" t="s">
        <v>766</v>
      </c>
      <c r="C190" s="629"/>
      <c r="D190" s="411"/>
      <c r="E190" s="411"/>
      <c r="F190" s="411" t="s">
        <v>476</v>
      </c>
      <c r="G190" s="411">
        <v>20</v>
      </c>
      <c r="H190" s="411">
        <v>0.3</v>
      </c>
      <c r="I190" s="488">
        <v>0.1</v>
      </c>
      <c r="J190" s="538"/>
      <c r="K190" s="411"/>
      <c r="L190" s="411">
        <v>2025</v>
      </c>
      <c r="M190" s="411"/>
      <c r="N190" s="411"/>
      <c r="O190" s="411"/>
      <c r="P190" s="439" t="s">
        <v>644</v>
      </c>
      <c r="Q190" s="265">
        <v>4778000</v>
      </c>
      <c r="R190" s="338" t="s">
        <v>228</v>
      </c>
      <c r="S190" s="411"/>
      <c r="T190" s="487" t="s">
        <v>38</v>
      </c>
    </row>
    <row r="191" spans="1:20" ht="37.5" customHeight="1" x14ac:dyDescent="0.25">
      <c r="A191" s="411">
        <v>16</v>
      </c>
      <c r="B191" s="628" t="s">
        <v>767</v>
      </c>
      <c r="C191" s="629"/>
      <c r="D191" s="411"/>
      <c r="E191" s="411"/>
      <c r="F191" s="411" t="s">
        <v>476</v>
      </c>
      <c r="G191" s="411">
        <v>41</v>
      </c>
      <c r="H191" s="411">
        <v>2.9</v>
      </c>
      <c r="I191" s="488">
        <v>0.12</v>
      </c>
      <c r="J191" s="538"/>
      <c r="K191" s="411"/>
      <c r="L191" s="411">
        <v>2025</v>
      </c>
      <c r="M191" s="411"/>
      <c r="N191" s="411"/>
      <c r="O191" s="411"/>
      <c r="P191" s="439" t="s">
        <v>644</v>
      </c>
      <c r="Q191" s="265">
        <v>19380000</v>
      </c>
      <c r="R191" s="338" t="s">
        <v>228</v>
      </c>
      <c r="S191" s="411"/>
      <c r="T191" s="487" t="s">
        <v>38</v>
      </c>
    </row>
    <row r="192" spans="1:20" ht="60" customHeight="1" x14ac:dyDescent="0.25">
      <c r="A192" s="411">
        <v>17</v>
      </c>
      <c r="B192" s="628" t="s">
        <v>768</v>
      </c>
      <c r="C192" s="629"/>
      <c r="D192" s="411"/>
      <c r="E192" s="411"/>
      <c r="F192" s="411" t="s">
        <v>476</v>
      </c>
      <c r="G192" s="411">
        <v>163</v>
      </c>
      <c r="H192" s="411">
        <v>2.2000000000000002</v>
      </c>
      <c r="I192" s="488">
        <v>0.12</v>
      </c>
      <c r="J192" s="538"/>
      <c r="K192" s="411"/>
      <c r="L192" s="411">
        <v>2025</v>
      </c>
      <c r="M192" s="411"/>
      <c r="N192" s="411"/>
      <c r="O192" s="411"/>
      <c r="P192" s="439" t="s">
        <v>585</v>
      </c>
      <c r="Q192" s="265">
        <v>40620000</v>
      </c>
      <c r="R192" s="338" t="s">
        <v>228</v>
      </c>
      <c r="S192" s="411"/>
      <c r="T192" s="487" t="s">
        <v>38</v>
      </c>
    </row>
    <row r="193" spans="1:20" ht="60" customHeight="1" x14ac:dyDescent="0.25">
      <c r="A193" s="411">
        <v>18</v>
      </c>
      <c r="B193" s="628" t="s">
        <v>769</v>
      </c>
      <c r="C193" s="629"/>
      <c r="D193" s="411"/>
      <c r="E193" s="411"/>
      <c r="F193" s="411" t="s">
        <v>476</v>
      </c>
      <c r="G193" s="411">
        <v>7</v>
      </c>
      <c r="H193" s="411">
        <v>0.3</v>
      </c>
      <c r="I193" s="488">
        <v>1</v>
      </c>
      <c r="J193" s="538"/>
      <c r="K193" s="411"/>
      <c r="L193" s="411">
        <v>2025</v>
      </c>
      <c r="M193" s="411"/>
      <c r="N193" s="411"/>
      <c r="O193" s="411"/>
      <c r="P193" s="439" t="s">
        <v>585</v>
      </c>
      <c r="Q193" s="265">
        <v>5980000</v>
      </c>
      <c r="R193" s="338" t="s">
        <v>228</v>
      </c>
      <c r="S193" s="411"/>
      <c r="T193" s="487" t="s">
        <v>38</v>
      </c>
    </row>
    <row r="194" spans="1:20" ht="60" customHeight="1" x14ac:dyDescent="0.25">
      <c r="A194" s="411">
        <v>19</v>
      </c>
      <c r="B194" s="628" t="s">
        <v>770</v>
      </c>
      <c r="C194" s="629"/>
      <c r="D194" s="411"/>
      <c r="E194" s="411"/>
      <c r="F194" s="411" t="s">
        <v>476</v>
      </c>
      <c r="G194" s="411">
        <v>105</v>
      </c>
      <c r="H194" s="411">
        <v>0.3</v>
      </c>
      <c r="I194" s="488">
        <v>1</v>
      </c>
      <c r="J194" s="538"/>
      <c r="K194" s="411"/>
      <c r="L194" s="411">
        <v>2025</v>
      </c>
      <c r="M194" s="411"/>
      <c r="N194" s="411"/>
      <c r="O194" s="411"/>
      <c r="P194" s="439" t="s">
        <v>644</v>
      </c>
      <c r="Q194" s="265">
        <v>49644000</v>
      </c>
      <c r="R194" s="338" t="s">
        <v>228</v>
      </c>
      <c r="S194" s="411"/>
      <c r="T194" s="487" t="s">
        <v>38</v>
      </c>
    </row>
    <row r="195" spans="1:20" ht="30" customHeight="1" x14ac:dyDescent="0.25">
      <c r="A195" s="411">
        <v>20</v>
      </c>
      <c r="B195" s="628" t="s">
        <v>771</v>
      </c>
      <c r="C195" s="629"/>
      <c r="D195" s="411"/>
      <c r="E195" s="411"/>
      <c r="F195" s="411" t="s">
        <v>476</v>
      </c>
      <c r="G195" s="411">
        <v>160</v>
      </c>
      <c r="H195" s="411">
        <v>0.3</v>
      </c>
      <c r="I195" s="411">
        <v>0.5</v>
      </c>
      <c r="J195" s="538"/>
      <c r="K195" s="411"/>
      <c r="L195" s="411">
        <v>2025</v>
      </c>
      <c r="M195" s="411"/>
      <c r="N195" s="411"/>
      <c r="O195" s="411"/>
      <c r="P195" s="439" t="s">
        <v>644</v>
      </c>
      <c r="Q195" s="265">
        <v>49847000</v>
      </c>
      <c r="R195" s="338" t="s">
        <v>228</v>
      </c>
      <c r="S195" s="411"/>
      <c r="T195" s="487" t="s">
        <v>38</v>
      </c>
    </row>
    <row r="196" spans="1:20" x14ac:dyDescent="0.25">
      <c r="A196" s="411"/>
      <c r="B196" s="547"/>
      <c r="C196" s="548"/>
      <c r="D196" s="335"/>
      <c r="E196" s="335"/>
      <c r="F196" s="335"/>
      <c r="G196" s="336"/>
      <c r="H196" s="336"/>
      <c r="I196" s="336"/>
      <c r="J196" s="337"/>
      <c r="K196" s="335"/>
      <c r="L196" s="335"/>
      <c r="M196" s="335"/>
      <c r="N196" s="335"/>
      <c r="O196" s="335"/>
      <c r="P196" s="338"/>
      <c r="Q196" s="339"/>
      <c r="R196" s="338"/>
      <c r="S196" s="335"/>
      <c r="T196" s="103"/>
    </row>
    <row r="197" spans="1:20" x14ac:dyDescent="0.25">
      <c r="A197" s="415"/>
      <c r="B197" s="630" t="s">
        <v>750</v>
      </c>
      <c r="C197" s="631"/>
      <c r="D197" s="416"/>
      <c r="E197" s="416"/>
      <c r="F197" s="416"/>
      <c r="G197" s="417"/>
      <c r="H197" s="417"/>
      <c r="I197" s="417"/>
      <c r="J197" s="418"/>
      <c r="K197" s="416"/>
      <c r="L197" s="416"/>
      <c r="M197" s="416"/>
      <c r="N197" s="416"/>
      <c r="O197" s="416"/>
      <c r="P197" s="419"/>
      <c r="Q197" s="420">
        <f>SUM(Q176:Q196)</f>
        <v>949288500</v>
      </c>
      <c r="R197" s="419"/>
      <c r="S197" s="416"/>
      <c r="T197" s="103"/>
    </row>
    <row r="198" spans="1:20" x14ac:dyDescent="0.25">
      <c r="A198" s="632" t="s">
        <v>266</v>
      </c>
      <c r="B198" s="633"/>
      <c r="C198" s="634"/>
      <c r="D198" s="335"/>
      <c r="E198" s="335"/>
      <c r="F198" s="335"/>
      <c r="G198" s="336"/>
      <c r="H198" s="336"/>
      <c r="I198" s="336"/>
      <c r="J198" s="337"/>
      <c r="K198" s="335"/>
      <c r="L198" s="335"/>
      <c r="M198" s="335"/>
      <c r="N198" s="335"/>
      <c r="O198" s="335"/>
      <c r="P198" s="338"/>
      <c r="Q198" s="340">
        <f>Q174+Q197</f>
        <v>7050375350</v>
      </c>
      <c r="R198" s="338"/>
      <c r="S198" s="85"/>
      <c r="T198" s="104"/>
    </row>
    <row r="199" spans="1:20" x14ac:dyDescent="0.25">
      <c r="Q199" s="73"/>
    </row>
    <row r="200" spans="1:20" x14ac:dyDescent="0.25">
      <c r="B200" s="74"/>
      <c r="C200" s="74"/>
      <c r="D200" s="74"/>
      <c r="E200" s="74"/>
      <c r="F200" s="74"/>
      <c r="G200" s="205"/>
      <c r="H200" s="205"/>
      <c r="I200" s="205"/>
      <c r="J200" s="259"/>
      <c r="K200" s="74"/>
      <c r="L200" s="74"/>
      <c r="M200" s="74"/>
      <c r="N200" s="74"/>
      <c r="O200" s="74"/>
      <c r="P200" s="255"/>
      <c r="Q200" s="86" t="str">
        <f>'Gedung Bangunan'!P72</f>
        <v>Desa Klego, 31 Desember 2025</v>
      </c>
      <c r="R200" s="255"/>
      <c r="S200" s="74"/>
      <c r="T200" s="74"/>
    </row>
    <row r="201" spans="1:20" x14ac:dyDescent="0.25">
      <c r="C201" s="86" t="s">
        <v>196</v>
      </c>
      <c r="D201" s="74"/>
      <c r="E201" s="74"/>
      <c r="F201" s="74"/>
      <c r="G201" s="205"/>
      <c r="H201" s="205"/>
      <c r="I201" s="205"/>
      <c r="J201" s="259"/>
      <c r="K201" s="74"/>
      <c r="L201" s="74"/>
      <c r="M201" s="74"/>
      <c r="N201" s="74"/>
      <c r="O201" s="74"/>
      <c r="P201" s="255"/>
      <c r="Q201" s="74"/>
      <c r="R201" s="255"/>
      <c r="S201" s="74"/>
      <c r="T201" s="74"/>
    </row>
    <row r="202" spans="1:20" x14ac:dyDescent="0.25">
      <c r="C202" s="86" t="str">
        <f>'Gedung Bangunan'!E74</f>
        <v>Kepala Desa Klego</v>
      </c>
      <c r="D202" s="74"/>
      <c r="E202" s="74"/>
      <c r="F202" s="74"/>
      <c r="G202" s="205"/>
      <c r="H202" s="205"/>
      <c r="I202" s="205"/>
      <c r="J202" s="259"/>
      <c r="K202" s="74"/>
      <c r="L202" s="74"/>
      <c r="M202" s="74"/>
      <c r="N202" s="74"/>
      <c r="O202" s="74"/>
      <c r="P202" s="255"/>
      <c r="Q202" s="86" t="s">
        <v>197</v>
      </c>
      <c r="R202" s="255"/>
      <c r="S202" s="74"/>
      <c r="T202" s="74"/>
    </row>
    <row r="203" spans="1:20" x14ac:dyDescent="0.25">
      <c r="B203" s="87"/>
      <c r="Q203" s="87"/>
    </row>
    <row r="204" spans="1:20" x14ac:dyDescent="0.25">
      <c r="B204" s="87"/>
      <c r="Q204" s="87"/>
    </row>
    <row r="205" spans="1:20" x14ac:dyDescent="0.25">
      <c r="B205" s="87"/>
      <c r="Q205" s="87"/>
    </row>
    <row r="206" spans="1:20" x14ac:dyDescent="0.25">
      <c r="C206" s="86" t="str">
        <f>'Gedung Bangunan'!E78</f>
        <v>GUNTUR HERU SUPRAPTO, S.Pd</v>
      </c>
      <c r="D206" s="74"/>
      <c r="E206" s="74"/>
      <c r="F206" s="74"/>
      <c r="G206" s="205"/>
      <c r="H206" s="205"/>
      <c r="I206" s="205"/>
      <c r="J206" s="259"/>
      <c r="K206" s="74"/>
      <c r="L206" s="74"/>
      <c r="M206" s="74"/>
      <c r="N206" s="74"/>
      <c r="O206" s="74"/>
      <c r="P206" s="255"/>
      <c r="Q206" s="86" t="str">
        <f>'Gedung Bangunan'!P78</f>
        <v>PRATOMO RUDY ATMOKO</v>
      </c>
      <c r="R206" s="255"/>
      <c r="S206" s="74"/>
      <c r="T206" s="74"/>
    </row>
    <row r="210" spans="17:17" x14ac:dyDescent="0.25">
      <c r="Q210" s="188">
        <f>655799500+158169000+104269000</f>
        <v>918237500</v>
      </c>
    </row>
    <row r="211" spans="17:17" x14ac:dyDescent="0.25">
      <c r="Q211" s="564">
        <f>7050375350-Q198</f>
        <v>0</v>
      </c>
    </row>
  </sheetData>
  <mergeCells count="194">
    <mergeCell ref="B185:C185"/>
    <mergeCell ref="B195:C195"/>
    <mergeCell ref="B197:C197"/>
    <mergeCell ref="A198:C198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A175:S175"/>
    <mergeCell ref="B176:C176"/>
    <mergeCell ref="B177:C177"/>
    <mergeCell ref="B179:C179"/>
    <mergeCell ref="B180:C180"/>
    <mergeCell ref="B181:C181"/>
    <mergeCell ref="B182:C182"/>
    <mergeCell ref="B183:C183"/>
    <mergeCell ref="B184:C184"/>
    <mergeCell ref="B178:C178"/>
    <mergeCell ref="B170:C170"/>
    <mergeCell ref="B171:C171"/>
    <mergeCell ref="B173:C173"/>
    <mergeCell ref="A174:C174"/>
    <mergeCell ref="B163:C163"/>
    <mergeCell ref="B162:C162"/>
    <mergeCell ref="B164:C164"/>
    <mergeCell ref="B165:C165"/>
    <mergeCell ref="B166:C166"/>
    <mergeCell ref="B167:C167"/>
    <mergeCell ref="B168:C168"/>
    <mergeCell ref="B169:C169"/>
    <mergeCell ref="A161:S161"/>
    <mergeCell ref="B60:C60"/>
    <mergeCell ref="B23:C23"/>
    <mergeCell ref="B75:C75"/>
    <mergeCell ref="B103:C103"/>
    <mergeCell ref="B104:C104"/>
    <mergeCell ref="B71:C71"/>
    <mergeCell ref="B73:C73"/>
    <mergeCell ref="B62:C62"/>
    <mergeCell ref="A67:R67"/>
    <mergeCell ref="B81:C81"/>
    <mergeCell ref="B70:C70"/>
    <mergeCell ref="A66:S66"/>
    <mergeCell ref="B79:C79"/>
    <mergeCell ref="B80:C80"/>
    <mergeCell ref="B105:C105"/>
    <mergeCell ref="B64:C64"/>
    <mergeCell ref="B82:C82"/>
    <mergeCell ref="B83:C83"/>
    <mergeCell ref="B63:C63"/>
    <mergeCell ref="B118:C118"/>
    <mergeCell ref="B119:C119"/>
    <mergeCell ref="B68:C68"/>
    <mergeCell ref="A107:R107"/>
    <mergeCell ref="A9:A10"/>
    <mergeCell ref="B58:C58"/>
    <mergeCell ref="B41:C41"/>
    <mergeCell ref="B46:C46"/>
    <mergeCell ref="B45:C45"/>
    <mergeCell ref="B37:C37"/>
    <mergeCell ref="B47:C47"/>
    <mergeCell ref="B19:C19"/>
    <mergeCell ref="B22:C22"/>
    <mergeCell ref="B57:C57"/>
    <mergeCell ref="B54:C54"/>
    <mergeCell ref="B14:C14"/>
    <mergeCell ref="B13:C13"/>
    <mergeCell ref="B16:C16"/>
    <mergeCell ref="B15:C15"/>
    <mergeCell ref="B21:C21"/>
    <mergeCell ref="B20:C20"/>
    <mergeCell ref="K9:K10"/>
    <mergeCell ref="L9:M9"/>
    <mergeCell ref="R9:R10"/>
    <mergeCell ref="S9:S10"/>
    <mergeCell ref="I9:I10"/>
    <mergeCell ref="H9:H10"/>
    <mergeCell ref="Q9:Q10"/>
    <mergeCell ref="P9:P10"/>
    <mergeCell ref="J9:J10"/>
    <mergeCell ref="D9:E9"/>
    <mergeCell ref="F9:F10"/>
    <mergeCell ref="N9:N10"/>
    <mergeCell ref="O9:O10"/>
    <mergeCell ref="G9:G10"/>
    <mergeCell ref="B9:C10"/>
    <mergeCell ref="T9:T11"/>
    <mergeCell ref="B34:C34"/>
    <mergeCell ref="B56:C56"/>
    <mergeCell ref="B53:C53"/>
    <mergeCell ref="B50:C50"/>
    <mergeCell ref="B18:C18"/>
    <mergeCell ref="B49:C49"/>
    <mergeCell ref="B48:C48"/>
    <mergeCell ref="B52:C52"/>
    <mergeCell ref="B51:C51"/>
    <mergeCell ref="B44:C44"/>
    <mergeCell ref="B43:C43"/>
    <mergeCell ref="B40:C40"/>
    <mergeCell ref="B31:C31"/>
    <mergeCell ref="B30:C30"/>
    <mergeCell ref="B25:C25"/>
    <mergeCell ref="B39:C39"/>
    <mergeCell ref="B42:C42"/>
    <mergeCell ref="A2:T2"/>
    <mergeCell ref="A3:T3"/>
    <mergeCell ref="B120:C120"/>
    <mergeCell ref="B59:C59"/>
    <mergeCell ref="B61:C61"/>
    <mergeCell ref="B17:C17"/>
    <mergeCell ref="B26:C26"/>
    <mergeCell ref="B11:C11"/>
    <mergeCell ref="B32:C32"/>
    <mergeCell ref="B35:C35"/>
    <mergeCell ref="B12:C12"/>
    <mergeCell ref="B27:C27"/>
    <mergeCell ref="B28:C28"/>
    <mergeCell ref="B33:C33"/>
    <mergeCell ref="B55:C55"/>
    <mergeCell ref="B29:C29"/>
    <mergeCell ref="B36:C36"/>
    <mergeCell ref="B38:C38"/>
    <mergeCell ref="B24:C24"/>
    <mergeCell ref="B98:C98"/>
    <mergeCell ref="B99:C99"/>
    <mergeCell ref="B100:C100"/>
    <mergeCell ref="B101:C101"/>
    <mergeCell ref="B102:C102"/>
    <mergeCell ref="B141:C141"/>
    <mergeCell ref="B139:C139"/>
    <mergeCell ref="B143:C143"/>
    <mergeCell ref="A144:C144"/>
    <mergeCell ref="B140:C140"/>
    <mergeCell ref="B76:C76"/>
    <mergeCell ref="B77:C77"/>
    <mergeCell ref="B78:C78"/>
    <mergeCell ref="B69:C69"/>
    <mergeCell ref="B74:C74"/>
    <mergeCell ref="A93:R93"/>
    <mergeCell ref="B94:C94"/>
    <mergeCell ref="B95:C95"/>
    <mergeCell ref="B96:C96"/>
    <mergeCell ref="B97:C97"/>
    <mergeCell ref="B108:C108"/>
    <mergeCell ref="B109:C109"/>
    <mergeCell ref="B110:C110"/>
    <mergeCell ref="B111:C111"/>
    <mergeCell ref="B112:C112"/>
    <mergeCell ref="B116:C116"/>
    <mergeCell ref="B113:C113"/>
    <mergeCell ref="B72:C72"/>
    <mergeCell ref="B117:C117"/>
    <mergeCell ref="A132:R132"/>
    <mergeCell ref="B133:C133"/>
    <mergeCell ref="B134:C134"/>
    <mergeCell ref="B135:C135"/>
    <mergeCell ref="B136:C136"/>
    <mergeCell ref="B137:C137"/>
    <mergeCell ref="B138:C138"/>
    <mergeCell ref="B84:C84"/>
    <mergeCell ref="B85:C85"/>
    <mergeCell ref="B90:C90"/>
    <mergeCell ref="B91:C91"/>
    <mergeCell ref="B127:C127"/>
    <mergeCell ref="B128:C128"/>
    <mergeCell ref="B114:C114"/>
    <mergeCell ref="B115:C115"/>
    <mergeCell ref="B130:C130"/>
    <mergeCell ref="B106:C106"/>
    <mergeCell ref="B121:C121"/>
    <mergeCell ref="B122:C122"/>
    <mergeCell ref="B123:C123"/>
    <mergeCell ref="B124:C124"/>
    <mergeCell ref="B125:C125"/>
    <mergeCell ref="B126:C126"/>
    <mergeCell ref="B155:C155"/>
    <mergeCell ref="B159:C159"/>
    <mergeCell ref="A160:C160"/>
    <mergeCell ref="A146:R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6:C156"/>
    <mergeCell ref="B157:C157"/>
  </mergeCells>
  <printOptions horizontalCentered="1"/>
  <pageMargins left="0.39370078740157483" right="0.39370078740157483" top="0.98425196850393704" bottom="0.39370078740157483" header="0.31496062992125984" footer="0.31496062992125984"/>
  <pageSetup paperSize="192" scale="73" orientation="landscape" r:id="rId1"/>
  <rowBreaks count="2" manualBreakCount="2">
    <brk id="84" max="19" man="1"/>
    <brk id="106" max="19" man="1"/>
  </rowBreaks>
  <colBreaks count="1" manualBreakCount="1">
    <brk id="2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60"/>
  <sheetViews>
    <sheetView view="pageBreakPreview" topLeftCell="A20" zoomScale="80" zoomScaleNormal="100" zoomScaleSheetLayoutView="80" workbookViewId="0">
      <selection activeCell="Q64" sqref="Q64"/>
    </sheetView>
  </sheetViews>
  <sheetFormatPr defaultRowHeight="15" x14ac:dyDescent="0.25"/>
  <cols>
    <col min="3" max="3" width="12.28515625" customWidth="1"/>
    <col min="16" max="16" width="15.5703125" customWidth="1"/>
    <col min="18" max="18" width="23" customWidth="1"/>
    <col min="19" max="19" width="19.28515625" style="295" customWidth="1"/>
    <col min="20" max="20" width="13.85546875" bestFit="1" customWidth="1"/>
  </cols>
  <sheetData>
    <row r="2" spans="1:21" ht="15" customHeight="1" x14ac:dyDescent="0.25">
      <c r="A2" s="692" t="s">
        <v>317</v>
      </c>
      <c r="B2" s="692"/>
      <c r="C2" s="692"/>
      <c r="D2" s="692"/>
      <c r="E2" s="692"/>
      <c r="F2" s="692"/>
      <c r="G2" s="692"/>
      <c r="H2" s="692"/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105"/>
      <c r="U2" s="105"/>
    </row>
    <row r="3" spans="1:21" ht="15.75" x14ac:dyDescent="0.25">
      <c r="A3" s="645" t="s">
        <v>198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  <c r="T3" s="105"/>
      <c r="U3" s="105"/>
    </row>
    <row r="4" spans="1:21" x14ac:dyDescent="0.25">
      <c r="A4" s="108"/>
      <c r="B4" s="108" t="s">
        <v>105</v>
      </c>
      <c r="C4" s="248"/>
      <c r="D4" s="108" t="s">
        <v>568</v>
      </c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289"/>
      <c r="T4" s="105"/>
      <c r="U4" s="105"/>
    </row>
    <row r="5" spans="1:21" x14ac:dyDescent="0.25">
      <c r="A5" s="108"/>
      <c r="B5" s="108" t="s">
        <v>107</v>
      </c>
      <c r="C5" s="248"/>
      <c r="D5" s="108" t="s">
        <v>569</v>
      </c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289"/>
      <c r="T5" s="105"/>
      <c r="U5" s="105"/>
    </row>
    <row r="6" spans="1:21" x14ac:dyDescent="0.25">
      <c r="A6" s="108"/>
      <c r="B6" s="108" t="s">
        <v>108</v>
      </c>
      <c r="C6" s="248"/>
      <c r="D6" s="108" t="s">
        <v>570</v>
      </c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289"/>
      <c r="T6" s="105"/>
      <c r="U6" s="105"/>
    </row>
    <row r="7" spans="1:21" x14ac:dyDescent="0.25">
      <c r="A7" s="108"/>
      <c r="B7" s="108" t="s">
        <v>109</v>
      </c>
      <c r="C7" s="248"/>
      <c r="D7" s="108" t="s">
        <v>570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289"/>
      <c r="T7" s="105"/>
      <c r="U7" s="105"/>
    </row>
    <row r="8" spans="1:21" x14ac:dyDescent="0.25">
      <c r="A8" s="107"/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289"/>
      <c r="T8" s="105"/>
      <c r="U8" s="105"/>
    </row>
    <row r="9" spans="1:21" ht="20.25" customHeight="1" x14ac:dyDescent="0.25">
      <c r="A9" s="685" t="s">
        <v>110</v>
      </c>
      <c r="B9" s="684" t="s">
        <v>302</v>
      </c>
      <c r="C9" s="684"/>
      <c r="D9" s="699" t="s">
        <v>121</v>
      </c>
      <c r="E9" s="684" t="s">
        <v>303</v>
      </c>
      <c r="F9" s="685" t="s">
        <v>304</v>
      </c>
      <c r="G9" s="685"/>
      <c r="H9" s="684" t="s">
        <v>305</v>
      </c>
      <c r="I9" s="685"/>
      <c r="J9" s="685"/>
      <c r="K9" s="684" t="s">
        <v>306</v>
      </c>
      <c r="L9" s="685"/>
      <c r="M9" s="685"/>
      <c r="N9" s="684" t="s">
        <v>307</v>
      </c>
      <c r="O9" s="684" t="s">
        <v>308</v>
      </c>
      <c r="P9" s="684" t="s">
        <v>119</v>
      </c>
      <c r="Q9" s="699" t="s">
        <v>278</v>
      </c>
      <c r="R9" s="685" t="s">
        <v>120</v>
      </c>
      <c r="S9" s="693" t="s">
        <v>269</v>
      </c>
      <c r="T9" s="110"/>
      <c r="U9" s="110"/>
    </row>
    <row r="10" spans="1:21" x14ac:dyDescent="0.25">
      <c r="A10" s="685"/>
      <c r="B10" s="684"/>
      <c r="C10" s="684"/>
      <c r="D10" s="700"/>
      <c r="E10" s="684"/>
      <c r="F10" s="109" t="s">
        <v>309</v>
      </c>
      <c r="G10" s="109" t="s">
        <v>310</v>
      </c>
      <c r="H10" s="109" t="s">
        <v>311</v>
      </c>
      <c r="I10" s="109" t="s">
        <v>312</v>
      </c>
      <c r="J10" s="109" t="s">
        <v>205</v>
      </c>
      <c r="K10" s="109" t="s">
        <v>313</v>
      </c>
      <c r="L10" s="109" t="s">
        <v>314</v>
      </c>
      <c r="M10" s="109" t="s">
        <v>202</v>
      </c>
      <c r="N10" s="684"/>
      <c r="O10" s="685"/>
      <c r="P10" s="685"/>
      <c r="Q10" s="700"/>
      <c r="R10" s="685"/>
      <c r="S10" s="694"/>
      <c r="T10" s="110"/>
      <c r="U10" s="110"/>
    </row>
    <row r="11" spans="1:21" x14ac:dyDescent="0.25">
      <c r="A11" s="106" t="s">
        <v>213</v>
      </c>
      <c r="B11" s="698" t="s">
        <v>214</v>
      </c>
      <c r="C11" s="698"/>
      <c r="D11" s="106" t="s">
        <v>279</v>
      </c>
      <c r="E11" s="106" t="s">
        <v>280</v>
      </c>
      <c r="F11" s="106" t="s">
        <v>215</v>
      </c>
      <c r="G11" s="106" t="s">
        <v>216</v>
      </c>
      <c r="H11" s="106" t="s">
        <v>217</v>
      </c>
      <c r="I11" s="106" t="s">
        <v>218</v>
      </c>
      <c r="J11" s="106" t="s">
        <v>281</v>
      </c>
      <c r="K11" s="106" t="s">
        <v>219</v>
      </c>
      <c r="L11" s="106" t="s">
        <v>220</v>
      </c>
      <c r="M11" s="106" t="s">
        <v>221</v>
      </c>
      <c r="N11" s="106" t="s">
        <v>222</v>
      </c>
      <c r="O11" s="106" t="s">
        <v>223</v>
      </c>
      <c r="P11" s="106" t="s">
        <v>224</v>
      </c>
      <c r="Q11" s="106"/>
      <c r="R11" s="106" t="s">
        <v>282</v>
      </c>
      <c r="S11" s="695"/>
      <c r="T11" s="105"/>
      <c r="U11" s="105"/>
    </row>
    <row r="12" spans="1:21" x14ac:dyDescent="0.25">
      <c r="A12" s="111">
        <v>1</v>
      </c>
      <c r="B12" s="688" t="s">
        <v>315</v>
      </c>
      <c r="C12" s="688"/>
      <c r="D12" s="111"/>
      <c r="E12" s="111"/>
      <c r="F12" s="111"/>
      <c r="G12" s="111"/>
      <c r="H12" s="111"/>
      <c r="I12" s="111"/>
      <c r="J12" s="111"/>
      <c r="K12" s="111"/>
      <c r="L12" s="109">
        <v>90</v>
      </c>
      <c r="M12" s="109">
        <v>20</v>
      </c>
      <c r="N12" s="111"/>
      <c r="O12" s="111"/>
      <c r="P12" s="112">
        <v>2000000</v>
      </c>
      <c r="Q12" s="109"/>
      <c r="R12" s="109" t="s">
        <v>563</v>
      </c>
      <c r="S12" s="290" t="s">
        <v>51</v>
      </c>
      <c r="T12" s="105"/>
      <c r="U12" s="105"/>
    </row>
    <row r="13" spans="1:21" x14ac:dyDescent="0.25">
      <c r="A13" s="111">
        <f>A12+1</f>
        <v>2</v>
      </c>
      <c r="B13" s="688" t="s">
        <v>544</v>
      </c>
      <c r="C13" s="688"/>
      <c r="D13" s="111"/>
      <c r="E13" s="111"/>
      <c r="F13" s="111"/>
      <c r="G13" s="111"/>
      <c r="H13" s="111"/>
      <c r="I13" s="111"/>
      <c r="J13" s="111"/>
      <c r="K13" s="111"/>
      <c r="L13" s="109">
        <v>80</v>
      </c>
      <c r="M13" s="109">
        <v>20</v>
      </c>
      <c r="N13" s="111"/>
      <c r="O13" s="111"/>
      <c r="P13" s="112">
        <v>2000000</v>
      </c>
      <c r="Q13" s="109"/>
      <c r="R13" s="109" t="s">
        <v>563</v>
      </c>
      <c r="S13" s="290" t="s">
        <v>51</v>
      </c>
      <c r="T13" s="105"/>
      <c r="U13" s="105"/>
    </row>
    <row r="14" spans="1:21" x14ac:dyDescent="0.25">
      <c r="A14" s="111">
        <f t="shared" ref="A14:A20" si="0">A13+1</f>
        <v>3</v>
      </c>
      <c r="B14" s="688" t="s">
        <v>545</v>
      </c>
      <c r="C14" s="688"/>
      <c r="D14" s="111"/>
      <c r="E14" s="111"/>
      <c r="F14" s="111"/>
      <c r="G14" s="111"/>
      <c r="H14" s="111"/>
      <c r="I14" s="111"/>
      <c r="J14" s="111"/>
      <c r="K14" s="111"/>
      <c r="L14" s="109">
        <v>300</v>
      </c>
      <c r="M14" s="109">
        <v>1</v>
      </c>
      <c r="N14" s="111"/>
      <c r="O14" s="111"/>
      <c r="P14" s="112">
        <v>200000</v>
      </c>
      <c r="Q14" s="109"/>
      <c r="R14" s="109" t="s">
        <v>565</v>
      </c>
      <c r="S14" s="290" t="s">
        <v>51</v>
      </c>
      <c r="T14" s="105"/>
      <c r="U14" s="105"/>
    </row>
    <row r="15" spans="1:21" x14ac:dyDescent="0.25">
      <c r="A15" s="111">
        <f t="shared" si="0"/>
        <v>4</v>
      </c>
      <c r="B15" s="688" t="s">
        <v>546</v>
      </c>
      <c r="C15" s="688"/>
      <c r="D15" s="111"/>
      <c r="E15" s="111"/>
      <c r="F15" s="111"/>
      <c r="G15" s="111"/>
      <c r="H15" s="111"/>
      <c r="I15" s="111"/>
      <c r="J15" s="111"/>
      <c r="K15" s="111"/>
      <c r="L15" s="109">
        <v>60</v>
      </c>
      <c r="M15" s="109">
        <v>20</v>
      </c>
      <c r="N15" s="111"/>
      <c r="O15" s="111"/>
      <c r="P15" s="112">
        <v>3000000</v>
      </c>
      <c r="Q15" s="109"/>
      <c r="R15" s="109" t="s">
        <v>549</v>
      </c>
      <c r="S15" s="290" t="s">
        <v>51</v>
      </c>
      <c r="T15" s="105"/>
      <c r="U15" s="105"/>
    </row>
    <row r="16" spans="1:21" x14ac:dyDescent="0.25">
      <c r="A16" s="111">
        <f t="shared" si="0"/>
        <v>5</v>
      </c>
      <c r="B16" s="688" t="s">
        <v>547</v>
      </c>
      <c r="C16" s="688"/>
      <c r="D16" s="111"/>
      <c r="E16" s="111"/>
      <c r="F16" s="111"/>
      <c r="G16" s="111"/>
      <c r="H16" s="111"/>
      <c r="I16" s="111"/>
      <c r="J16" s="111"/>
      <c r="K16" s="111"/>
      <c r="L16" s="109">
        <v>270</v>
      </c>
      <c r="M16" s="109">
        <v>4</v>
      </c>
      <c r="N16" s="111"/>
      <c r="O16" s="111"/>
      <c r="P16" s="112">
        <v>500000</v>
      </c>
      <c r="Q16" s="109"/>
      <c r="R16" s="109" t="s">
        <v>564</v>
      </c>
      <c r="S16" s="290" t="s">
        <v>51</v>
      </c>
      <c r="U16" s="117"/>
    </row>
    <row r="17" spans="1:21" x14ac:dyDescent="0.25">
      <c r="A17" s="111">
        <f t="shared" si="0"/>
        <v>6</v>
      </c>
      <c r="B17" s="688" t="s">
        <v>548</v>
      </c>
      <c r="C17" s="688"/>
      <c r="D17" s="111"/>
      <c r="E17" s="111"/>
      <c r="F17" s="111"/>
      <c r="G17" s="111"/>
      <c r="H17" s="111"/>
      <c r="I17" s="111"/>
      <c r="J17" s="111"/>
      <c r="K17" s="111"/>
      <c r="L17" s="109">
        <v>90</v>
      </c>
      <c r="M17" s="109">
        <v>40</v>
      </c>
      <c r="N17" s="111"/>
      <c r="O17" s="111"/>
      <c r="P17" s="112">
        <v>300000</v>
      </c>
      <c r="Q17" s="109"/>
      <c r="R17" s="109" t="s">
        <v>549</v>
      </c>
      <c r="S17" s="290" t="s">
        <v>51</v>
      </c>
      <c r="T17" s="116"/>
      <c r="U17" s="116"/>
    </row>
    <row r="18" spans="1:21" x14ac:dyDescent="0.25">
      <c r="A18" s="111">
        <f t="shared" si="0"/>
        <v>7</v>
      </c>
      <c r="B18" s="686" t="s">
        <v>550</v>
      </c>
      <c r="C18" s="687"/>
      <c r="D18" s="111"/>
      <c r="E18" s="111"/>
      <c r="F18" s="111"/>
      <c r="G18" s="111"/>
      <c r="H18" s="111"/>
      <c r="I18" s="111"/>
      <c r="J18" s="111"/>
      <c r="K18" s="111"/>
      <c r="L18" s="235">
        <v>260</v>
      </c>
      <c r="M18" s="235">
        <v>1</v>
      </c>
      <c r="N18" s="111"/>
      <c r="O18" s="111"/>
      <c r="P18" s="112">
        <v>800000</v>
      </c>
      <c r="Q18" s="235"/>
      <c r="R18" s="235" t="s">
        <v>566</v>
      </c>
      <c r="S18" s="290" t="s">
        <v>51</v>
      </c>
      <c r="T18" s="116"/>
      <c r="U18" s="116"/>
    </row>
    <row r="19" spans="1:21" x14ac:dyDescent="0.25">
      <c r="A19" s="111">
        <f t="shared" si="0"/>
        <v>8</v>
      </c>
      <c r="B19" s="686" t="s">
        <v>551</v>
      </c>
      <c r="C19" s="687"/>
      <c r="D19" s="111"/>
      <c r="E19" s="111"/>
      <c r="F19" s="111"/>
      <c r="G19" s="111"/>
      <c r="H19" s="111"/>
      <c r="I19" s="111"/>
      <c r="J19" s="111"/>
      <c r="K19" s="111"/>
      <c r="L19" s="235">
        <v>350</v>
      </c>
      <c r="M19" s="235">
        <v>3</v>
      </c>
      <c r="N19" s="111"/>
      <c r="O19" s="111"/>
      <c r="P19" s="112">
        <v>900000</v>
      </c>
      <c r="Q19" s="235"/>
      <c r="R19" s="235" t="s">
        <v>567</v>
      </c>
      <c r="S19" s="290" t="s">
        <v>51</v>
      </c>
      <c r="T19" s="116"/>
      <c r="U19" s="116"/>
    </row>
    <row r="20" spans="1:21" x14ac:dyDescent="0.25">
      <c r="A20" s="111">
        <f t="shared" si="0"/>
        <v>9</v>
      </c>
      <c r="B20" s="688" t="s">
        <v>316</v>
      </c>
      <c r="C20" s="688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2">
        <v>1000</v>
      </c>
      <c r="Q20" s="109"/>
      <c r="R20" s="109"/>
      <c r="S20" s="291" t="s">
        <v>49</v>
      </c>
      <c r="T20" s="105"/>
      <c r="U20" s="105"/>
    </row>
    <row r="21" spans="1:21" x14ac:dyDescent="0.25">
      <c r="A21" s="155"/>
      <c r="B21" s="696" t="s">
        <v>195</v>
      </c>
      <c r="C21" s="697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6">
        <f>SUM(P12:P20)</f>
        <v>9701000</v>
      </c>
      <c r="Q21" s="157"/>
      <c r="R21" s="157"/>
      <c r="S21" s="292"/>
      <c r="T21" s="105"/>
      <c r="U21" s="105"/>
    </row>
    <row r="22" spans="1:21" x14ac:dyDescent="0.25">
      <c r="A22" s="122"/>
      <c r="B22" s="123"/>
      <c r="C22" s="124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5"/>
      <c r="Q22" s="124"/>
      <c r="R22" s="124"/>
      <c r="S22" s="293"/>
      <c r="T22" s="126"/>
      <c r="U22" s="105"/>
    </row>
    <row r="23" spans="1:21" ht="15.75" x14ac:dyDescent="0.25">
      <c r="A23" s="579" t="s">
        <v>318</v>
      </c>
      <c r="B23" s="579"/>
      <c r="C23" s="579"/>
      <c r="D23" s="579"/>
      <c r="E23" s="579"/>
      <c r="F23" s="579"/>
      <c r="G23" s="579"/>
      <c r="H23" s="579"/>
      <c r="I23" s="579"/>
      <c r="J23" s="579"/>
      <c r="K23" s="579"/>
      <c r="L23" s="579"/>
      <c r="M23" s="579"/>
      <c r="N23" s="579"/>
      <c r="O23" s="579"/>
      <c r="P23" s="579"/>
      <c r="Q23" s="579"/>
      <c r="R23" s="579"/>
      <c r="S23" s="294"/>
      <c r="T23" s="126"/>
      <c r="U23" s="105"/>
    </row>
    <row r="24" spans="1:21" x14ac:dyDescent="0.25">
      <c r="A24" s="119">
        <f>A20+1</f>
        <v>10</v>
      </c>
      <c r="B24" s="670" t="s">
        <v>605</v>
      </c>
      <c r="C24" s="671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>
        <v>2019</v>
      </c>
      <c r="P24" s="121">
        <v>29480000</v>
      </c>
      <c r="Q24" s="120"/>
      <c r="R24" s="120"/>
      <c r="S24" s="291" t="s">
        <v>49</v>
      </c>
      <c r="T24" s="105"/>
      <c r="U24" s="105"/>
    </row>
    <row r="25" spans="1:21" x14ac:dyDescent="0.25">
      <c r="A25" s="111">
        <f>A24+1</f>
        <v>11</v>
      </c>
      <c r="B25" s="115"/>
      <c r="C25" s="109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2"/>
      <c r="Q25" s="109"/>
      <c r="R25" s="109"/>
      <c r="S25" s="291" t="s">
        <v>270</v>
      </c>
      <c r="T25" s="105"/>
      <c r="U25" s="105"/>
    </row>
    <row r="26" spans="1:21" x14ac:dyDescent="0.25">
      <c r="A26" s="111">
        <f t="shared" ref="A26:A31" si="1">A25+1</f>
        <v>12</v>
      </c>
      <c r="B26" s="115"/>
      <c r="C26" s="109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2"/>
      <c r="Q26" s="109"/>
      <c r="R26" s="109"/>
      <c r="S26" s="291" t="s">
        <v>270</v>
      </c>
      <c r="T26" s="105"/>
      <c r="U26" s="105"/>
    </row>
    <row r="27" spans="1:21" x14ac:dyDescent="0.25">
      <c r="A27" s="111">
        <f t="shared" si="1"/>
        <v>13</v>
      </c>
      <c r="B27" s="115"/>
      <c r="C27" s="109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2"/>
      <c r="Q27" s="109"/>
      <c r="R27" s="109"/>
      <c r="S27" s="291" t="s">
        <v>270</v>
      </c>
      <c r="T27" s="105"/>
      <c r="U27" s="105"/>
    </row>
    <row r="28" spans="1:21" x14ac:dyDescent="0.25">
      <c r="A28" s="111">
        <f t="shared" si="1"/>
        <v>14</v>
      </c>
      <c r="B28" s="115"/>
      <c r="C28" s="109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2"/>
      <c r="Q28" s="109"/>
      <c r="R28" s="109"/>
      <c r="S28" s="291" t="s">
        <v>270</v>
      </c>
      <c r="T28" s="105"/>
      <c r="U28" s="105"/>
    </row>
    <row r="29" spans="1:21" x14ac:dyDescent="0.25">
      <c r="A29" s="111">
        <f t="shared" si="1"/>
        <v>15</v>
      </c>
      <c r="B29" s="115"/>
      <c r="C29" s="109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2"/>
      <c r="Q29" s="109"/>
      <c r="R29" s="109"/>
      <c r="S29" s="291" t="s">
        <v>270</v>
      </c>
      <c r="T29" s="105"/>
      <c r="U29" s="105"/>
    </row>
    <row r="30" spans="1:21" x14ac:dyDescent="0.25">
      <c r="A30" s="111">
        <f t="shared" si="1"/>
        <v>16</v>
      </c>
      <c r="B30" s="115"/>
      <c r="C30" s="109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2"/>
      <c r="Q30" s="109"/>
      <c r="R30" s="109"/>
      <c r="S30" s="291" t="s">
        <v>270</v>
      </c>
      <c r="T30" s="105"/>
      <c r="U30" s="105"/>
    </row>
    <row r="31" spans="1:21" x14ac:dyDescent="0.25">
      <c r="A31" s="111">
        <f t="shared" si="1"/>
        <v>17</v>
      </c>
      <c r="B31" s="115"/>
      <c r="C31" s="109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2"/>
      <c r="Q31" s="109"/>
      <c r="R31" s="109"/>
      <c r="S31" s="291" t="s">
        <v>270</v>
      </c>
      <c r="T31" s="105"/>
      <c r="U31" s="105"/>
    </row>
    <row r="32" spans="1:21" x14ac:dyDescent="0.25">
      <c r="A32" s="678" t="s">
        <v>195</v>
      </c>
      <c r="B32" s="679"/>
      <c r="C32" s="68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2">
        <f>SUM(P24:P31)</f>
        <v>29480000</v>
      </c>
      <c r="Q32" s="71"/>
      <c r="R32" s="71"/>
      <c r="S32" s="291"/>
      <c r="T32" s="105"/>
      <c r="U32" s="105"/>
    </row>
    <row r="34" spans="1:21" ht="15.75" x14ac:dyDescent="0.25">
      <c r="A34" s="579" t="s">
        <v>606</v>
      </c>
      <c r="B34" s="579"/>
      <c r="C34" s="579"/>
      <c r="D34" s="579"/>
      <c r="E34" s="579"/>
      <c r="F34" s="579"/>
      <c r="G34" s="579"/>
      <c r="H34" s="579"/>
      <c r="I34" s="579"/>
      <c r="J34" s="579"/>
      <c r="K34" s="579"/>
      <c r="L34" s="579"/>
      <c r="M34" s="579"/>
      <c r="N34" s="579"/>
      <c r="O34" s="579"/>
      <c r="P34" s="579"/>
      <c r="Q34" s="579"/>
      <c r="R34" s="579"/>
      <c r="S34" s="294"/>
      <c r="T34" s="126"/>
      <c r="U34" s="105"/>
    </row>
    <row r="35" spans="1:21" x14ac:dyDescent="0.25">
      <c r="A35" s="119">
        <f>A31+1</f>
        <v>18</v>
      </c>
      <c r="B35" s="670"/>
      <c r="C35" s="671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21">
        <v>0</v>
      </c>
      <c r="Q35" s="120"/>
      <c r="R35" s="120"/>
      <c r="S35" s="291"/>
      <c r="T35" s="105"/>
      <c r="U35" s="105"/>
    </row>
    <row r="36" spans="1:21" x14ac:dyDescent="0.25">
      <c r="A36" s="111"/>
      <c r="B36" s="115"/>
      <c r="C36" s="306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2"/>
      <c r="Q36" s="306"/>
      <c r="R36" s="306"/>
      <c r="S36" s="291" t="s">
        <v>270</v>
      </c>
      <c r="T36" s="105"/>
      <c r="U36" s="105"/>
    </row>
    <row r="37" spans="1:21" x14ac:dyDescent="0.25">
      <c r="A37" s="672" t="s">
        <v>195</v>
      </c>
      <c r="B37" s="673"/>
      <c r="C37" s="674"/>
      <c r="D37" s="373"/>
      <c r="E37" s="373"/>
      <c r="F37" s="373"/>
      <c r="G37" s="373"/>
      <c r="H37" s="373"/>
      <c r="I37" s="373"/>
      <c r="J37" s="373"/>
      <c r="K37" s="373"/>
      <c r="L37" s="373"/>
      <c r="M37" s="373"/>
      <c r="N37" s="373"/>
      <c r="O37" s="373"/>
      <c r="P37" s="374">
        <f>SUM(P35:P36)</f>
        <v>0</v>
      </c>
      <c r="Q37" s="375"/>
      <c r="R37" s="375"/>
      <c r="S37" s="291"/>
      <c r="T37" s="105"/>
      <c r="U37" s="105"/>
    </row>
    <row r="38" spans="1:21" ht="15.75" x14ac:dyDescent="0.25">
      <c r="A38" s="579" t="s">
        <v>636</v>
      </c>
      <c r="B38" s="579"/>
      <c r="C38" s="579"/>
      <c r="D38" s="579"/>
      <c r="E38" s="579"/>
      <c r="F38" s="579"/>
      <c r="G38" s="579"/>
      <c r="H38" s="579"/>
      <c r="I38" s="579"/>
      <c r="J38" s="579"/>
      <c r="K38" s="579"/>
      <c r="L38" s="579"/>
      <c r="M38" s="579"/>
      <c r="N38" s="579"/>
      <c r="O38" s="579"/>
      <c r="P38" s="579"/>
      <c r="Q38" s="579"/>
      <c r="R38" s="579"/>
      <c r="S38" s="291"/>
      <c r="T38" s="105"/>
      <c r="U38" s="105"/>
    </row>
    <row r="39" spans="1:21" x14ac:dyDescent="0.25">
      <c r="A39" s="427">
        <v>19</v>
      </c>
      <c r="B39" s="690"/>
      <c r="C39" s="691"/>
      <c r="D39" s="425"/>
      <c r="E39" s="425"/>
      <c r="F39" s="425"/>
      <c r="G39" s="425"/>
      <c r="H39" s="425"/>
      <c r="I39" s="425"/>
      <c r="J39" s="425"/>
      <c r="K39" s="425"/>
      <c r="L39" s="425"/>
      <c r="M39" s="425"/>
      <c r="N39" s="425"/>
      <c r="O39" s="425"/>
      <c r="P39" s="426">
        <v>0</v>
      </c>
      <c r="Q39" s="427"/>
      <c r="R39" s="427"/>
      <c r="S39" s="291"/>
      <c r="T39" s="105"/>
      <c r="U39" s="105"/>
    </row>
    <row r="40" spans="1:21" x14ac:dyDescent="0.25">
      <c r="A40" s="675" t="s">
        <v>195</v>
      </c>
      <c r="B40" s="676"/>
      <c r="C40" s="677"/>
      <c r="D40" s="428"/>
      <c r="E40" s="428"/>
      <c r="F40" s="428"/>
      <c r="G40" s="428"/>
      <c r="H40" s="428"/>
      <c r="I40" s="428"/>
      <c r="J40" s="428"/>
      <c r="K40" s="428"/>
      <c r="L40" s="428"/>
      <c r="M40" s="428"/>
      <c r="N40" s="428"/>
      <c r="O40" s="428"/>
      <c r="P40" s="429">
        <f>SUM(P39)</f>
        <v>0</v>
      </c>
      <c r="Q40" s="430"/>
      <c r="R40" s="430"/>
      <c r="S40" s="291"/>
      <c r="T40" s="105"/>
      <c r="U40" s="105"/>
    </row>
    <row r="41" spans="1:21" x14ac:dyDescent="0.25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14"/>
      <c r="Q41" s="105"/>
      <c r="R41" s="105"/>
      <c r="S41" s="289"/>
      <c r="T41" s="105"/>
      <c r="U41" s="105"/>
    </row>
    <row r="42" spans="1:21" ht="15.75" x14ac:dyDescent="0.25">
      <c r="A42" s="579" t="s">
        <v>675</v>
      </c>
      <c r="B42" s="579"/>
      <c r="C42" s="579"/>
      <c r="D42" s="579"/>
      <c r="E42" s="579"/>
      <c r="F42" s="579"/>
      <c r="G42" s="579"/>
      <c r="H42" s="579"/>
      <c r="I42" s="579"/>
      <c r="J42" s="579"/>
      <c r="K42" s="579"/>
      <c r="L42" s="579"/>
      <c r="M42" s="579"/>
      <c r="N42" s="579"/>
      <c r="O42" s="579"/>
      <c r="P42" s="579"/>
      <c r="Q42" s="579"/>
      <c r="R42" s="579"/>
      <c r="S42" s="291"/>
      <c r="T42" s="105"/>
      <c r="U42" s="105"/>
    </row>
    <row r="43" spans="1:21" x14ac:dyDescent="0.25">
      <c r="A43" s="427">
        <v>20</v>
      </c>
      <c r="B43" s="689"/>
      <c r="C43" s="689"/>
      <c r="D43" s="425"/>
      <c r="E43" s="425"/>
      <c r="F43" s="425"/>
      <c r="G43" s="425"/>
      <c r="H43" s="425"/>
      <c r="I43" s="425"/>
      <c r="J43" s="425"/>
      <c r="K43" s="425"/>
      <c r="L43" s="425"/>
      <c r="M43" s="425"/>
      <c r="N43" s="425"/>
      <c r="O43" s="425"/>
      <c r="P43" s="426">
        <v>0</v>
      </c>
      <c r="Q43" s="427"/>
      <c r="R43" s="427"/>
      <c r="S43" s="291"/>
      <c r="T43" s="105"/>
      <c r="U43" s="105"/>
    </row>
    <row r="44" spans="1:21" x14ac:dyDescent="0.25">
      <c r="A44" s="675" t="s">
        <v>195</v>
      </c>
      <c r="B44" s="676"/>
      <c r="C44" s="677"/>
      <c r="D44" s="428"/>
      <c r="E44" s="428"/>
      <c r="F44" s="428"/>
      <c r="G44" s="428"/>
      <c r="H44" s="428"/>
      <c r="I44" s="428"/>
      <c r="J44" s="428"/>
      <c r="K44" s="428"/>
      <c r="L44" s="428"/>
      <c r="M44" s="428"/>
      <c r="N44" s="428"/>
      <c r="O44" s="428"/>
      <c r="P44" s="429">
        <f>SUM(P43)</f>
        <v>0</v>
      </c>
      <c r="Q44" s="430"/>
      <c r="R44" s="430"/>
      <c r="S44" s="291"/>
      <c r="T44" s="105"/>
      <c r="U44" s="105"/>
    </row>
    <row r="45" spans="1:21" x14ac:dyDescent="0.25">
      <c r="A45" s="681" t="s">
        <v>266</v>
      </c>
      <c r="B45" s="682"/>
      <c r="C45" s="683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3">
        <f>P21+P32+P37+P40+P44</f>
        <v>39181000</v>
      </c>
      <c r="Q45" s="444"/>
      <c r="R45" s="444"/>
      <c r="S45" s="292"/>
      <c r="T45" s="518">
        <f>9701000</f>
        <v>9701000</v>
      </c>
      <c r="U45" s="105"/>
    </row>
    <row r="46" spans="1:21" ht="15.75" x14ac:dyDescent="0.25">
      <c r="A46" s="579" t="s">
        <v>707</v>
      </c>
      <c r="B46" s="579"/>
      <c r="C46" s="579"/>
      <c r="D46" s="579"/>
      <c r="E46" s="579"/>
      <c r="F46" s="579"/>
      <c r="G46" s="579"/>
      <c r="H46" s="579"/>
      <c r="I46" s="579"/>
      <c r="J46" s="579"/>
      <c r="K46" s="579"/>
      <c r="L46" s="579"/>
      <c r="M46" s="579"/>
      <c r="N46" s="579"/>
      <c r="O46" s="579"/>
      <c r="P46" s="579"/>
      <c r="Q46" s="579"/>
      <c r="R46" s="579"/>
      <c r="S46" s="291"/>
      <c r="T46" s="105"/>
      <c r="U46" s="105"/>
    </row>
    <row r="47" spans="1:21" x14ac:dyDescent="0.25">
      <c r="A47" s="427">
        <v>21</v>
      </c>
      <c r="B47" s="689"/>
      <c r="C47" s="689"/>
      <c r="D47" s="425"/>
      <c r="E47" s="425"/>
      <c r="F47" s="425"/>
      <c r="G47" s="425"/>
      <c r="H47" s="425"/>
      <c r="I47" s="425"/>
      <c r="J47" s="425"/>
      <c r="K47" s="425"/>
      <c r="L47" s="425"/>
      <c r="M47" s="425"/>
      <c r="N47" s="425"/>
      <c r="O47" s="425"/>
      <c r="P47" s="426">
        <v>0</v>
      </c>
      <c r="Q47" s="427"/>
      <c r="R47" s="427"/>
      <c r="S47" s="291"/>
      <c r="T47" s="105"/>
      <c r="U47" s="105"/>
    </row>
    <row r="48" spans="1:21" x14ac:dyDescent="0.25">
      <c r="A48" s="675" t="s">
        <v>195</v>
      </c>
      <c r="B48" s="676"/>
      <c r="C48" s="677"/>
      <c r="D48" s="428"/>
      <c r="E48" s="428"/>
      <c r="F48" s="428"/>
      <c r="G48" s="428"/>
      <c r="H48" s="428"/>
      <c r="I48" s="428"/>
      <c r="J48" s="428"/>
      <c r="K48" s="428"/>
      <c r="L48" s="428"/>
      <c r="M48" s="428"/>
      <c r="N48" s="428"/>
      <c r="O48" s="428"/>
      <c r="P48" s="429">
        <f>SUM(P47)</f>
        <v>0</v>
      </c>
      <c r="Q48" s="430"/>
      <c r="R48" s="430"/>
      <c r="S48" s="291"/>
      <c r="T48" s="105"/>
      <c r="U48" s="105"/>
    </row>
    <row r="49" spans="1:21" x14ac:dyDescent="0.25">
      <c r="A49" s="681" t="s">
        <v>266</v>
      </c>
      <c r="B49" s="682"/>
      <c r="C49" s="683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3">
        <f>P48+P45</f>
        <v>39181000</v>
      </c>
      <c r="Q49" s="510"/>
      <c r="R49" s="510"/>
      <c r="S49" s="292"/>
      <c r="T49" s="105"/>
      <c r="U49" s="105"/>
    </row>
    <row r="50" spans="1:21" x14ac:dyDescent="0.25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14"/>
      <c r="Q50" s="105"/>
      <c r="R50" s="105"/>
      <c r="S50" s="289"/>
      <c r="T50" s="105"/>
      <c r="U50" s="105"/>
    </row>
    <row r="51" spans="1:21" x14ac:dyDescent="0.25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14"/>
      <c r="Q51" s="105"/>
      <c r="R51" s="105"/>
      <c r="S51" s="289"/>
      <c r="T51" s="105"/>
      <c r="U51" s="105"/>
    </row>
    <row r="52" spans="1:21" x14ac:dyDescent="0.25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14"/>
      <c r="Q52" s="105"/>
      <c r="R52" s="105"/>
      <c r="S52" s="289"/>
      <c r="T52" s="105"/>
      <c r="U52" s="105"/>
    </row>
    <row r="53" spans="1:21" x14ac:dyDescent="0.25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669" t="str">
        <f>'Jalan Jembatan Irigasi'!Q200</f>
        <v>Desa Klego, 31 Desember 2025</v>
      </c>
      <c r="R53" s="669"/>
      <c r="S53" s="289"/>
    </row>
    <row r="54" spans="1:21" x14ac:dyDescent="0.25">
      <c r="A54" s="105"/>
      <c r="C54" s="30" t="s">
        <v>196</v>
      </c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289"/>
    </row>
    <row r="55" spans="1:21" x14ac:dyDescent="0.25">
      <c r="A55" s="105"/>
      <c r="C55" s="30" t="str">
        <f>'Jalan Jembatan Irigasi'!C202</f>
        <v>Kepala Desa Klego</v>
      </c>
      <c r="D55" s="105"/>
      <c r="E55" s="105"/>
      <c r="F55" s="105"/>
      <c r="G55" s="116"/>
      <c r="H55" s="105"/>
      <c r="I55" s="105"/>
      <c r="J55" s="105"/>
      <c r="K55" s="105"/>
      <c r="L55" s="105"/>
      <c r="M55" s="105"/>
      <c r="N55" s="105"/>
      <c r="O55" s="105"/>
      <c r="P55" s="105"/>
      <c r="Q55" s="669" t="s">
        <v>197</v>
      </c>
      <c r="R55" s="669"/>
      <c r="S55" s="289"/>
      <c r="T55" s="105"/>
      <c r="U55" s="105"/>
    </row>
    <row r="56" spans="1:21" x14ac:dyDescent="0.25">
      <c r="A56" s="105"/>
      <c r="B56" s="30"/>
      <c r="C56" s="105"/>
      <c r="D56" s="105"/>
      <c r="E56" s="105"/>
      <c r="F56" s="105"/>
      <c r="G56" s="116"/>
      <c r="H56" s="105"/>
      <c r="I56" s="105"/>
      <c r="J56" s="105"/>
      <c r="K56" s="105"/>
      <c r="L56" s="105"/>
      <c r="M56" s="105"/>
      <c r="N56" s="105"/>
      <c r="O56" s="105"/>
      <c r="P56" s="105"/>
      <c r="Q56" s="30"/>
      <c r="R56" s="105"/>
      <c r="S56" s="289"/>
    </row>
    <row r="57" spans="1:21" x14ac:dyDescent="0.25">
      <c r="B57" s="118"/>
      <c r="Q57" s="118"/>
    </row>
    <row r="58" spans="1:21" x14ac:dyDescent="0.25">
      <c r="B58" s="118"/>
      <c r="Q58" s="118"/>
    </row>
    <row r="59" spans="1:21" x14ac:dyDescent="0.25">
      <c r="A59" s="105"/>
      <c r="C59" s="30" t="str">
        <f>'Jalan Jembatan Irigasi'!C206</f>
        <v>GUNTUR HERU SUPRAPTO, S.Pd</v>
      </c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669" t="str">
        <f>'Jalan Jembatan Irigasi'!Q206</f>
        <v>PRATOMO RUDY ATMOKO</v>
      </c>
      <c r="R59" s="669"/>
      <c r="S59" s="289"/>
    </row>
    <row r="60" spans="1:21" x14ac:dyDescent="0.25">
      <c r="Q60" s="118"/>
    </row>
  </sheetData>
  <mergeCells count="46">
    <mergeCell ref="A2:S2"/>
    <mergeCell ref="A3:S3"/>
    <mergeCell ref="S9:S11"/>
    <mergeCell ref="B21:C21"/>
    <mergeCell ref="B11:C11"/>
    <mergeCell ref="B12:C12"/>
    <mergeCell ref="B13:C13"/>
    <mergeCell ref="B14:C14"/>
    <mergeCell ref="B17:C17"/>
    <mergeCell ref="B15:C15"/>
    <mergeCell ref="B16:C16"/>
    <mergeCell ref="R9:R10"/>
    <mergeCell ref="Q9:Q10"/>
    <mergeCell ref="O9:O10"/>
    <mergeCell ref="A9:A10"/>
    <mergeCell ref="D9:D10"/>
    <mergeCell ref="B47:C47"/>
    <mergeCell ref="E9:E10"/>
    <mergeCell ref="F9:G9"/>
    <mergeCell ref="B9:C10"/>
    <mergeCell ref="H9:J9"/>
    <mergeCell ref="B39:C39"/>
    <mergeCell ref="B43:C43"/>
    <mergeCell ref="P9:P10"/>
    <mergeCell ref="K9:M9"/>
    <mergeCell ref="A23:R23"/>
    <mergeCell ref="B18:C18"/>
    <mergeCell ref="B20:C20"/>
    <mergeCell ref="B19:C19"/>
    <mergeCell ref="N9:N10"/>
    <mergeCell ref="Q53:R53"/>
    <mergeCell ref="Q55:R55"/>
    <mergeCell ref="Q59:R59"/>
    <mergeCell ref="B24:C24"/>
    <mergeCell ref="A34:R34"/>
    <mergeCell ref="B35:C35"/>
    <mergeCell ref="A37:C37"/>
    <mergeCell ref="A38:R38"/>
    <mergeCell ref="A40:C40"/>
    <mergeCell ref="A32:C32"/>
    <mergeCell ref="A42:R42"/>
    <mergeCell ref="A44:C44"/>
    <mergeCell ref="A45:C45"/>
    <mergeCell ref="A46:R46"/>
    <mergeCell ref="A48:C48"/>
    <mergeCell ref="A49:C49"/>
  </mergeCells>
  <printOptions horizontalCentered="1"/>
  <pageMargins left="0.19685039370078741" right="0.19685039370078741" top="0.98425196850393704" bottom="0" header="0.31496062992125984" footer="0.31496062992125984"/>
  <pageSetup paperSize="192" scale="76" orientation="landscape" r:id="rId1"/>
  <rowBreaks count="1" manualBreakCount="1">
    <brk id="37" max="1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B33"/>
  <sheetViews>
    <sheetView view="pageBreakPreview" topLeftCell="A8" zoomScale="110" zoomScaleNormal="100" zoomScaleSheetLayoutView="110" workbookViewId="0">
      <selection activeCell="AA8" sqref="AA8"/>
    </sheetView>
  </sheetViews>
  <sheetFormatPr defaultRowHeight="15" x14ac:dyDescent="0.25"/>
  <cols>
    <col min="1" max="1" width="3.140625" bestFit="1" customWidth="1"/>
    <col min="2" max="2" width="21.85546875" customWidth="1"/>
    <col min="3" max="3" width="17.28515625" hidden="1" customWidth="1"/>
    <col min="4" max="5" width="12.85546875" hidden="1" customWidth="1"/>
    <col min="6" max="6" width="15.85546875" hidden="1" customWidth="1"/>
    <col min="7" max="7" width="11.42578125" hidden="1" customWidth="1"/>
    <col min="8" max="8" width="13" hidden="1" customWidth="1"/>
    <col min="9" max="9" width="14.140625" hidden="1" customWidth="1"/>
    <col min="10" max="10" width="12.28515625" hidden="1" customWidth="1"/>
    <col min="11" max="11" width="15.28515625" hidden="1" customWidth="1"/>
    <col min="12" max="12" width="16.85546875" hidden="1" customWidth="1"/>
    <col min="13" max="13" width="14.28515625" hidden="1" customWidth="1"/>
    <col min="14" max="14" width="16.85546875" hidden="1" customWidth="1"/>
    <col min="15" max="15" width="15.28515625" hidden="1" customWidth="1"/>
    <col min="16" max="16" width="14.7109375" hidden="1" customWidth="1"/>
    <col min="17" max="17" width="13.28515625" hidden="1" customWidth="1"/>
    <col min="18" max="19" width="15.28515625" hidden="1" customWidth="1"/>
    <col min="20" max="20" width="16.28515625" hidden="1" customWidth="1"/>
    <col min="21" max="21" width="16.140625" hidden="1" customWidth="1"/>
    <col min="22" max="22" width="12.5703125" hidden="1" customWidth="1"/>
    <col min="23" max="23" width="12.42578125" hidden="1" customWidth="1"/>
    <col min="24" max="24" width="13.5703125" hidden="1" customWidth="1"/>
    <col min="25" max="25" width="14" customWidth="1"/>
    <col min="26" max="26" width="12.5703125" customWidth="1"/>
    <col min="27" max="27" width="12.28515625" customWidth="1"/>
    <col min="28" max="28" width="14.42578125" customWidth="1"/>
  </cols>
  <sheetData>
    <row r="2" spans="1:28" x14ac:dyDescent="0.25">
      <c r="A2" s="710" t="s">
        <v>594</v>
      </c>
      <c r="B2" s="710"/>
      <c r="C2" s="710"/>
      <c r="D2" s="710"/>
      <c r="E2" s="710"/>
      <c r="F2" s="710"/>
      <c r="G2" s="710"/>
      <c r="H2" s="710"/>
      <c r="I2" s="710"/>
      <c r="J2" s="710"/>
      <c r="K2" s="710"/>
      <c r="L2" s="710"/>
      <c r="M2" s="710"/>
      <c r="N2" s="710"/>
      <c r="O2" s="710"/>
      <c r="P2" s="710"/>
      <c r="Q2" s="710"/>
      <c r="R2" s="710"/>
      <c r="S2" s="710"/>
      <c r="T2" s="710"/>
      <c r="U2" s="710"/>
      <c r="V2" s="710"/>
      <c r="W2" s="710"/>
      <c r="X2" s="710"/>
      <c r="Y2" s="710"/>
      <c r="Z2" s="710"/>
      <c r="AA2" s="710"/>
      <c r="AB2" s="710"/>
    </row>
    <row r="3" spans="1:28" x14ac:dyDescent="0.25">
      <c r="A3" s="710" t="s">
        <v>319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0"/>
      <c r="N3" s="710"/>
      <c r="O3" s="710"/>
      <c r="P3" s="710"/>
      <c r="Q3" s="710"/>
      <c r="R3" s="710"/>
      <c r="S3" s="710"/>
      <c r="T3" s="710"/>
      <c r="U3" s="710"/>
      <c r="V3" s="710"/>
      <c r="W3" s="710"/>
      <c r="X3" s="710"/>
      <c r="Y3" s="710"/>
      <c r="Z3" s="710"/>
      <c r="AA3" s="710"/>
      <c r="AB3" s="710"/>
    </row>
    <row r="4" spans="1:28" x14ac:dyDescent="0.25">
      <c r="A4" s="710" t="s">
        <v>773</v>
      </c>
      <c r="B4" s="710"/>
      <c r="C4" s="710"/>
      <c r="D4" s="710"/>
      <c r="E4" s="710"/>
      <c r="F4" s="710"/>
      <c r="G4" s="710"/>
      <c r="H4" s="710"/>
      <c r="I4" s="710"/>
      <c r="J4" s="710"/>
      <c r="K4" s="710"/>
      <c r="L4" s="710"/>
      <c r="M4" s="710"/>
      <c r="N4" s="710"/>
      <c r="O4" s="710"/>
      <c r="P4" s="710"/>
      <c r="Q4" s="710"/>
      <c r="R4" s="710"/>
      <c r="S4" s="710"/>
      <c r="T4" s="710"/>
      <c r="U4" s="710"/>
      <c r="V4" s="710"/>
      <c r="W4" s="710"/>
      <c r="X4" s="710"/>
      <c r="Y4" s="710"/>
      <c r="Z4" s="710"/>
      <c r="AA4" s="710"/>
      <c r="AB4" s="710"/>
    </row>
    <row r="5" spans="1:28" x14ac:dyDescent="0.25">
      <c r="A5" s="127"/>
      <c r="B5" s="127"/>
      <c r="C5" s="127"/>
      <c r="D5" s="127"/>
      <c r="E5" s="127"/>
      <c r="F5" s="127"/>
    </row>
    <row r="6" spans="1:28" x14ac:dyDescent="0.25">
      <c r="A6" s="127"/>
      <c r="B6" s="127"/>
      <c r="C6" s="127"/>
      <c r="D6" s="127"/>
      <c r="E6" s="127"/>
      <c r="F6" s="127"/>
    </row>
    <row r="7" spans="1:28" ht="15" customHeight="1" x14ac:dyDescent="0.25">
      <c r="A7" s="705" t="s">
        <v>320</v>
      </c>
      <c r="B7" s="701" t="s">
        <v>321</v>
      </c>
      <c r="C7" s="701" t="s">
        <v>322</v>
      </c>
      <c r="D7" s="707" t="s">
        <v>323</v>
      </c>
      <c r="E7" s="708"/>
      <c r="F7" s="701" t="s">
        <v>628</v>
      </c>
      <c r="G7" s="703" t="s">
        <v>625</v>
      </c>
      <c r="H7" s="704"/>
      <c r="I7" s="701" t="s">
        <v>654</v>
      </c>
      <c r="J7" s="703" t="s">
        <v>656</v>
      </c>
      <c r="K7" s="704"/>
      <c r="L7" s="701" t="s">
        <v>655</v>
      </c>
      <c r="M7" s="701" t="s">
        <v>691</v>
      </c>
      <c r="N7" s="703" t="s">
        <v>694</v>
      </c>
      <c r="O7" s="704"/>
      <c r="P7" s="701" t="s">
        <v>693</v>
      </c>
      <c r="Q7" s="701" t="s">
        <v>708</v>
      </c>
      <c r="R7" s="703" t="s">
        <v>709</v>
      </c>
      <c r="S7" s="704"/>
      <c r="T7" s="701" t="s">
        <v>710</v>
      </c>
      <c r="U7" s="701" t="s">
        <v>729</v>
      </c>
      <c r="V7" s="703" t="s">
        <v>730</v>
      </c>
      <c r="W7" s="704"/>
      <c r="X7" s="701" t="s">
        <v>731</v>
      </c>
      <c r="Y7" s="701" t="s">
        <v>774</v>
      </c>
      <c r="Z7" s="703" t="s">
        <v>775</v>
      </c>
      <c r="AA7" s="704"/>
      <c r="AB7" s="701" t="s">
        <v>776</v>
      </c>
    </row>
    <row r="8" spans="1:28" ht="31.5" customHeight="1" x14ac:dyDescent="0.25">
      <c r="A8" s="706"/>
      <c r="B8" s="702"/>
      <c r="C8" s="702"/>
      <c r="D8" s="128" t="s">
        <v>324</v>
      </c>
      <c r="E8" s="128" t="s">
        <v>325</v>
      </c>
      <c r="F8" s="702"/>
      <c r="G8" s="362" t="s">
        <v>626</v>
      </c>
      <c r="H8" s="362" t="s">
        <v>627</v>
      </c>
      <c r="I8" s="702"/>
      <c r="J8" s="362" t="s">
        <v>626</v>
      </c>
      <c r="K8" s="362" t="s">
        <v>627</v>
      </c>
      <c r="L8" s="702"/>
      <c r="M8" s="702"/>
      <c r="N8" s="362" t="s">
        <v>626</v>
      </c>
      <c r="O8" s="362" t="s">
        <v>627</v>
      </c>
      <c r="P8" s="702"/>
      <c r="Q8" s="702"/>
      <c r="R8" s="362" t="s">
        <v>626</v>
      </c>
      <c r="S8" s="362" t="s">
        <v>627</v>
      </c>
      <c r="T8" s="702"/>
      <c r="U8" s="702"/>
      <c r="V8" s="362" t="s">
        <v>626</v>
      </c>
      <c r="W8" s="362" t="s">
        <v>627</v>
      </c>
      <c r="X8" s="702"/>
      <c r="Y8" s="702"/>
      <c r="Z8" s="362" t="s">
        <v>626</v>
      </c>
      <c r="AA8" s="362" t="s">
        <v>627</v>
      </c>
      <c r="AB8" s="702"/>
    </row>
    <row r="9" spans="1:28" x14ac:dyDescent="0.25">
      <c r="A9" s="129">
        <v>1</v>
      </c>
      <c r="B9" s="130">
        <v>2</v>
      </c>
      <c r="C9" s="130">
        <v>3</v>
      </c>
      <c r="D9" s="128">
        <v>4</v>
      </c>
      <c r="E9" s="128">
        <v>5</v>
      </c>
      <c r="F9" s="130" t="s">
        <v>326</v>
      </c>
      <c r="G9" s="362">
        <v>7</v>
      </c>
      <c r="H9" s="362">
        <v>8</v>
      </c>
      <c r="I9" s="362" t="s">
        <v>629</v>
      </c>
      <c r="J9" s="362">
        <v>10</v>
      </c>
      <c r="K9" s="362">
        <v>11</v>
      </c>
      <c r="L9" s="362" t="s">
        <v>657</v>
      </c>
      <c r="M9" s="362" t="s">
        <v>692</v>
      </c>
      <c r="N9" s="362">
        <v>11</v>
      </c>
      <c r="O9" s="362">
        <v>12</v>
      </c>
      <c r="P9" s="362" t="s">
        <v>695</v>
      </c>
      <c r="Q9" s="362" t="s">
        <v>692</v>
      </c>
      <c r="R9" s="362">
        <v>11</v>
      </c>
      <c r="S9" s="362">
        <v>12</v>
      </c>
      <c r="T9" s="362" t="s">
        <v>695</v>
      </c>
      <c r="U9" s="362" t="s">
        <v>692</v>
      </c>
      <c r="V9" s="362">
        <v>11</v>
      </c>
      <c r="W9" s="362">
        <v>12</v>
      </c>
      <c r="X9" s="362" t="s">
        <v>695</v>
      </c>
      <c r="Y9" s="362" t="s">
        <v>692</v>
      </c>
      <c r="Z9" s="362">
        <v>11</v>
      </c>
      <c r="AA9" s="362">
        <v>12</v>
      </c>
      <c r="AB9" s="362" t="s">
        <v>695</v>
      </c>
    </row>
    <row r="10" spans="1:28" x14ac:dyDescent="0.25">
      <c r="A10" s="129"/>
      <c r="B10" s="130"/>
      <c r="C10" s="130"/>
      <c r="D10" s="128"/>
      <c r="E10" s="128"/>
      <c r="F10" s="130"/>
      <c r="G10" s="361"/>
      <c r="H10" s="361"/>
      <c r="I10" s="361"/>
      <c r="J10" s="431"/>
      <c r="K10" s="431"/>
      <c r="L10" s="431"/>
      <c r="M10" s="361"/>
      <c r="N10" s="431"/>
      <c r="O10" s="431"/>
      <c r="P10" s="431"/>
      <c r="Q10" s="361"/>
      <c r="R10" s="431"/>
      <c r="S10" s="431"/>
      <c r="T10" s="431"/>
      <c r="U10" s="361"/>
      <c r="V10" s="361"/>
      <c r="W10" s="361"/>
      <c r="X10" s="361"/>
      <c r="Y10" s="361"/>
      <c r="Z10" s="361"/>
      <c r="AA10" s="361"/>
      <c r="AB10" s="361"/>
    </row>
    <row r="11" spans="1:28" x14ac:dyDescent="0.25">
      <c r="A11" s="131">
        <v>1</v>
      </c>
      <c r="B11" s="132" t="s">
        <v>327</v>
      </c>
      <c r="C11" s="133">
        <f>Tanah!N92</f>
        <v>28670245600</v>
      </c>
      <c r="D11" s="133">
        <v>0</v>
      </c>
      <c r="E11" s="133">
        <v>0</v>
      </c>
      <c r="F11" s="134">
        <f>C11+D11-E11</f>
        <v>28670245600</v>
      </c>
      <c r="G11" s="363">
        <v>0</v>
      </c>
      <c r="H11" s="363">
        <v>0</v>
      </c>
      <c r="I11" s="363">
        <f>F11+G11-H11</f>
        <v>28670245600</v>
      </c>
      <c r="J11" s="432">
        <v>0</v>
      </c>
      <c r="K11" s="432">
        <v>0</v>
      </c>
      <c r="L11" s="432">
        <f>I11+J11-K11</f>
        <v>28670245600</v>
      </c>
      <c r="M11" s="363">
        <f>I11+J11-K11</f>
        <v>28670245600</v>
      </c>
      <c r="N11" s="432">
        <v>0</v>
      </c>
      <c r="O11" s="432">
        <v>0</v>
      </c>
      <c r="P11" s="432">
        <f>M11+N11-O11</f>
        <v>28670245600</v>
      </c>
      <c r="Q11" s="363">
        <f>M11+N11-O11</f>
        <v>28670245600</v>
      </c>
      <c r="R11" s="432">
        <v>0</v>
      </c>
      <c r="S11" s="432">
        <v>0</v>
      </c>
      <c r="T11" s="432">
        <f>Q11+R11-S11</f>
        <v>28670245600</v>
      </c>
      <c r="U11" s="544">
        <f>Q11+R11-S11</f>
        <v>28670245600</v>
      </c>
      <c r="V11" s="545">
        <v>0</v>
      </c>
      <c r="W11" s="545">
        <v>0</v>
      </c>
      <c r="X11" s="545">
        <f>U11+V11-W11</f>
        <v>28670245600</v>
      </c>
      <c r="Y11" s="544">
        <f>U11+V11-W11</f>
        <v>28670245600</v>
      </c>
      <c r="Z11" s="545">
        <v>0</v>
      </c>
      <c r="AA11" s="545">
        <v>0</v>
      </c>
      <c r="AB11" s="545">
        <f>Y11+Z11-AA11</f>
        <v>28670245600</v>
      </c>
    </row>
    <row r="12" spans="1:28" x14ac:dyDescent="0.25">
      <c r="A12" s="131">
        <v>2</v>
      </c>
      <c r="B12" s="132" t="s">
        <v>328</v>
      </c>
      <c r="C12" s="133">
        <f>'Peralatan Mesin'!P63</f>
        <v>195710000</v>
      </c>
      <c r="D12" s="133">
        <f>'Peralatan Mesin'!P73</f>
        <v>32500000</v>
      </c>
      <c r="E12" s="133">
        <v>0</v>
      </c>
      <c r="F12" s="134">
        <f t="shared" ref="F12:F17" si="0">C12+D12-E12</f>
        <v>228210000</v>
      </c>
      <c r="G12" s="363">
        <f>'Peralatan Mesin'!P82</f>
        <v>37000000</v>
      </c>
      <c r="H12" s="363">
        <v>0</v>
      </c>
      <c r="I12" s="363">
        <f>F12+G12-H12</f>
        <v>265210000</v>
      </c>
      <c r="J12" s="432">
        <f>'Peralatan Mesin'!P87</f>
        <v>11700000</v>
      </c>
      <c r="K12" s="432">
        <v>0</v>
      </c>
      <c r="L12" s="432">
        <f t="shared" ref="L12:L17" si="1">I12+J12-K12</f>
        <v>276910000</v>
      </c>
      <c r="M12" s="363">
        <f>I12+J12-K12</f>
        <v>276910000</v>
      </c>
      <c r="N12" s="432">
        <f>'Peralatan Mesin'!P94</f>
        <v>9665000</v>
      </c>
      <c r="O12" s="432">
        <v>0</v>
      </c>
      <c r="P12" s="432">
        <f t="shared" ref="P12:P17" si="2">M12+N12-O12</f>
        <v>286575000</v>
      </c>
      <c r="Q12" s="363">
        <f>M12+N12-O12</f>
        <v>286575000</v>
      </c>
      <c r="R12" s="432">
        <f>'Peralatan Mesin'!P100</f>
        <v>284000000</v>
      </c>
      <c r="S12" s="432">
        <v>0</v>
      </c>
      <c r="T12" s="432">
        <f t="shared" ref="T12:T17" si="3">Q12+R12-S12</f>
        <v>570575000</v>
      </c>
      <c r="U12" s="544">
        <f t="shared" ref="U12:U17" si="4">Q12+R12-S12</f>
        <v>570575000</v>
      </c>
      <c r="V12" s="545">
        <f>'Peralatan Mesin'!P107</f>
        <v>18490000</v>
      </c>
      <c r="W12" s="545"/>
      <c r="X12" s="545">
        <f t="shared" ref="X12:X17" si="5">U12+V12-W12</f>
        <v>589065000</v>
      </c>
      <c r="Y12" s="544">
        <f t="shared" ref="Y12:Y15" si="6">U12+V12-W12</f>
        <v>589065000</v>
      </c>
      <c r="Z12" s="545">
        <f>'Peralatan Mesin'!P115</f>
        <v>38150000</v>
      </c>
      <c r="AA12" s="545"/>
      <c r="AB12" s="545">
        <f t="shared" ref="AB12:AB17" si="7">Y12+Z12-AA12</f>
        <v>627215000</v>
      </c>
    </row>
    <row r="13" spans="1:28" x14ac:dyDescent="0.25">
      <c r="A13" s="131">
        <v>3</v>
      </c>
      <c r="B13" s="132" t="s">
        <v>329</v>
      </c>
      <c r="C13" s="133">
        <f>'Gedung Bangunan'!P21</f>
        <v>738688000</v>
      </c>
      <c r="D13" s="133">
        <f>'Gedung Bangunan'!P26</f>
        <v>24008000</v>
      </c>
      <c r="E13" s="133">
        <v>0</v>
      </c>
      <c r="F13" s="134">
        <f t="shared" si="0"/>
        <v>762696000</v>
      </c>
      <c r="G13" s="363">
        <f>'Gedung Bangunan'!P32</f>
        <v>26080500</v>
      </c>
      <c r="H13" s="363">
        <v>0</v>
      </c>
      <c r="I13" s="363">
        <f t="shared" ref="I13:I15" si="8">F13+G13-H13</f>
        <v>788776500</v>
      </c>
      <c r="J13" s="432">
        <f>'Gedung Bangunan'!P37</f>
        <v>0</v>
      </c>
      <c r="K13" s="432">
        <v>0</v>
      </c>
      <c r="L13" s="432">
        <f t="shared" si="1"/>
        <v>788776500</v>
      </c>
      <c r="M13" s="363">
        <f>I13+J13-K13</f>
        <v>788776500</v>
      </c>
      <c r="N13" s="432">
        <f>'Gedung Bangunan'!P45</f>
        <v>50000000</v>
      </c>
      <c r="O13" s="432">
        <v>0</v>
      </c>
      <c r="P13" s="432">
        <f t="shared" si="2"/>
        <v>838776500</v>
      </c>
      <c r="Q13" s="363">
        <f>M13+N13-O13</f>
        <v>838776500</v>
      </c>
      <c r="R13" s="432">
        <v>0</v>
      </c>
      <c r="S13" s="432">
        <v>0</v>
      </c>
      <c r="T13" s="432">
        <f t="shared" si="3"/>
        <v>838776500</v>
      </c>
      <c r="U13" s="544">
        <f t="shared" si="4"/>
        <v>838776500</v>
      </c>
      <c r="V13" s="545">
        <v>0</v>
      </c>
      <c r="W13" s="545">
        <v>0</v>
      </c>
      <c r="X13" s="545">
        <f t="shared" si="5"/>
        <v>838776500</v>
      </c>
      <c r="Y13" s="544">
        <f t="shared" si="6"/>
        <v>838776500</v>
      </c>
      <c r="Z13" s="545">
        <f>'Gedung Bangunan'!P67</f>
        <v>14637500</v>
      </c>
      <c r="AA13" s="545">
        <v>0</v>
      </c>
      <c r="AB13" s="545">
        <f t="shared" si="7"/>
        <v>853414000</v>
      </c>
    </row>
    <row r="14" spans="1:28" x14ac:dyDescent="0.25">
      <c r="A14" s="131">
        <v>4</v>
      </c>
      <c r="B14" s="132" t="s">
        <v>330</v>
      </c>
      <c r="C14" s="133">
        <f>'Jalan Jembatan Irigasi'!Q65</f>
        <v>2050388422</v>
      </c>
      <c r="D14" s="133">
        <f>'Jalan Jembatan Irigasi'!Q90</f>
        <v>995988800</v>
      </c>
      <c r="E14" s="133">
        <v>0</v>
      </c>
      <c r="F14" s="134">
        <f t="shared" si="0"/>
        <v>3046377222</v>
      </c>
      <c r="G14" s="363">
        <f>'Jalan Jembatan Irigasi'!Q106</f>
        <v>509989150</v>
      </c>
      <c r="H14" s="363">
        <v>0</v>
      </c>
      <c r="I14" s="363">
        <f t="shared" si="8"/>
        <v>3556366372</v>
      </c>
      <c r="J14" s="432">
        <f>'Jalan Jembatan Irigasi'!Q130</f>
        <v>771418850</v>
      </c>
      <c r="K14" s="432">
        <v>0</v>
      </c>
      <c r="L14" s="432">
        <f t="shared" si="1"/>
        <v>4327785222</v>
      </c>
      <c r="M14" s="363">
        <f>I14+J14-K14</f>
        <v>4327785222</v>
      </c>
      <c r="N14" s="432">
        <f>'Jalan Jembatan Irigasi'!Q143</f>
        <v>403902978</v>
      </c>
      <c r="O14" s="432">
        <v>0</v>
      </c>
      <c r="P14" s="432">
        <f t="shared" si="2"/>
        <v>4731688200</v>
      </c>
      <c r="Q14" s="363">
        <f>M14+N14-O14</f>
        <v>4731688200</v>
      </c>
      <c r="R14" s="432">
        <f>'Jalan Jembatan Irigasi'!Q159</f>
        <v>622101900</v>
      </c>
      <c r="S14" s="432">
        <v>0</v>
      </c>
      <c r="T14" s="432">
        <f t="shared" si="3"/>
        <v>5353790100</v>
      </c>
      <c r="U14" s="544">
        <f t="shared" si="4"/>
        <v>5353790100</v>
      </c>
      <c r="V14" s="545">
        <f>'Jalan Jembatan Irigasi'!Q173</f>
        <v>747296750</v>
      </c>
      <c r="W14" s="545"/>
      <c r="X14" s="545">
        <f t="shared" si="5"/>
        <v>6101086850</v>
      </c>
      <c r="Y14" s="544">
        <f t="shared" si="6"/>
        <v>6101086850</v>
      </c>
      <c r="Z14" s="545">
        <f>'Jalan Jembatan Irigasi'!Q197</f>
        <v>949288500</v>
      </c>
      <c r="AA14" s="545"/>
      <c r="AB14" s="545">
        <f t="shared" si="7"/>
        <v>7050375350</v>
      </c>
    </row>
    <row r="15" spans="1:28" x14ac:dyDescent="0.25">
      <c r="A15" s="131">
        <v>5</v>
      </c>
      <c r="B15" s="132" t="s">
        <v>331</v>
      </c>
      <c r="C15" s="133">
        <f>'Aset Tetap Lainnya'!P21</f>
        <v>9701000</v>
      </c>
      <c r="D15" s="133">
        <f>'Aset Tetap Lainnya'!P32</f>
        <v>29480000</v>
      </c>
      <c r="E15" s="133">
        <v>0</v>
      </c>
      <c r="F15" s="134">
        <f t="shared" si="0"/>
        <v>39181000</v>
      </c>
      <c r="G15" s="363">
        <f>'Aset Tetap Lainnya'!P37</f>
        <v>0</v>
      </c>
      <c r="H15" s="363">
        <v>0</v>
      </c>
      <c r="I15" s="363">
        <f t="shared" si="8"/>
        <v>39181000</v>
      </c>
      <c r="J15" s="432">
        <f>'Aset Tetap Lainnya'!P40</f>
        <v>0</v>
      </c>
      <c r="K15" s="432">
        <v>0</v>
      </c>
      <c r="L15" s="432">
        <f t="shared" si="1"/>
        <v>39181000</v>
      </c>
      <c r="M15" s="363">
        <f>I15+J15-K15</f>
        <v>39181000</v>
      </c>
      <c r="N15" s="432">
        <f>'Aset Tetap Lainnya'!P44</f>
        <v>0</v>
      </c>
      <c r="O15" s="432">
        <v>0</v>
      </c>
      <c r="P15" s="432">
        <f t="shared" si="2"/>
        <v>39181000</v>
      </c>
      <c r="Q15" s="363">
        <f>M15+N15-O15</f>
        <v>39181000</v>
      </c>
      <c r="R15" s="432">
        <f>'Aset Tetap Lainnya'!T44</f>
        <v>0</v>
      </c>
      <c r="S15" s="432">
        <v>0</v>
      </c>
      <c r="T15" s="432">
        <f t="shared" si="3"/>
        <v>39181000</v>
      </c>
      <c r="U15" s="544">
        <f t="shared" si="4"/>
        <v>39181000</v>
      </c>
      <c r="V15" s="545">
        <v>0</v>
      </c>
      <c r="W15" s="545">
        <v>0</v>
      </c>
      <c r="X15" s="545">
        <f t="shared" si="5"/>
        <v>39181000</v>
      </c>
      <c r="Y15" s="544">
        <f t="shared" si="6"/>
        <v>39181000</v>
      </c>
      <c r="Z15" s="545">
        <v>0</v>
      </c>
      <c r="AA15" s="545">
        <v>0</v>
      </c>
      <c r="AB15" s="545">
        <f t="shared" si="7"/>
        <v>39181000</v>
      </c>
    </row>
    <row r="16" spans="1:28" x14ac:dyDescent="0.25">
      <c r="A16" s="131">
        <v>6</v>
      </c>
      <c r="B16" s="132" t="s">
        <v>332</v>
      </c>
      <c r="C16" s="133">
        <v>0</v>
      </c>
      <c r="D16" s="133">
        <v>0</v>
      </c>
      <c r="E16" s="133">
        <v>0</v>
      </c>
      <c r="F16" s="134">
        <f t="shared" si="0"/>
        <v>0</v>
      </c>
      <c r="G16" s="363"/>
      <c r="H16" s="363">
        <v>0</v>
      </c>
      <c r="I16" s="363"/>
      <c r="J16" s="431"/>
      <c r="K16" s="432">
        <v>0</v>
      </c>
      <c r="L16" s="432">
        <f t="shared" si="1"/>
        <v>0</v>
      </c>
      <c r="M16" s="363"/>
      <c r="N16" s="431"/>
      <c r="O16" s="432">
        <v>0</v>
      </c>
      <c r="P16" s="432">
        <f t="shared" si="2"/>
        <v>0</v>
      </c>
      <c r="Q16" s="363"/>
      <c r="R16" s="431"/>
      <c r="S16" s="432">
        <v>0</v>
      </c>
      <c r="T16" s="432">
        <f t="shared" si="3"/>
        <v>0</v>
      </c>
      <c r="U16" s="544">
        <f>Q16+R16-S16</f>
        <v>0</v>
      </c>
      <c r="V16" s="545">
        <v>0</v>
      </c>
      <c r="W16" s="545">
        <v>0</v>
      </c>
      <c r="X16" s="545">
        <f t="shared" si="5"/>
        <v>0</v>
      </c>
      <c r="Y16" s="544">
        <f>U16+V16-W16</f>
        <v>0</v>
      </c>
      <c r="Z16" s="545">
        <v>0</v>
      </c>
      <c r="AA16" s="545">
        <v>0</v>
      </c>
      <c r="AB16" s="545">
        <f t="shared" si="7"/>
        <v>0</v>
      </c>
    </row>
    <row r="17" spans="1:28" x14ac:dyDescent="0.25">
      <c r="A17" s="131">
        <v>7</v>
      </c>
      <c r="B17" s="132" t="s">
        <v>333</v>
      </c>
      <c r="C17" s="133">
        <v>0</v>
      </c>
      <c r="D17" s="133">
        <v>0</v>
      </c>
      <c r="E17" s="133">
        <v>0</v>
      </c>
      <c r="F17" s="134">
        <f t="shared" si="0"/>
        <v>0</v>
      </c>
      <c r="G17" s="363"/>
      <c r="H17" s="363">
        <v>0</v>
      </c>
      <c r="I17" s="363"/>
      <c r="J17" s="431"/>
      <c r="K17" s="432">
        <v>0</v>
      </c>
      <c r="L17" s="432">
        <f t="shared" si="1"/>
        <v>0</v>
      </c>
      <c r="M17" s="363"/>
      <c r="N17" s="431"/>
      <c r="O17" s="432">
        <v>0</v>
      </c>
      <c r="P17" s="432">
        <f t="shared" si="2"/>
        <v>0</v>
      </c>
      <c r="Q17" s="363"/>
      <c r="R17" s="431"/>
      <c r="S17" s="432">
        <v>0</v>
      </c>
      <c r="T17" s="432">
        <f t="shared" si="3"/>
        <v>0</v>
      </c>
      <c r="U17" s="544">
        <f t="shared" si="4"/>
        <v>0</v>
      </c>
      <c r="V17" s="545">
        <v>0</v>
      </c>
      <c r="W17" s="545">
        <v>0</v>
      </c>
      <c r="X17" s="545">
        <f t="shared" si="5"/>
        <v>0</v>
      </c>
      <c r="Y17" s="544">
        <f t="shared" ref="Y17" si="9">U17+V17-W17</f>
        <v>0</v>
      </c>
      <c r="Z17" s="545">
        <v>0</v>
      </c>
      <c r="AA17" s="545">
        <v>0</v>
      </c>
      <c r="AB17" s="545">
        <f t="shared" si="7"/>
        <v>0</v>
      </c>
    </row>
    <row r="18" spans="1:28" x14ac:dyDescent="0.25">
      <c r="A18" s="131"/>
      <c r="B18" s="132"/>
      <c r="C18" s="133"/>
      <c r="D18" s="133"/>
      <c r="E18" s="133"/>
      <c r="F18" s="134"/>
      <c r="G18" s="364"/>
      <c r="H18" s="364"/>
      <c r="I18" s="364"/>
      <c r="J18" s="431"/>
      <c r="K18" s="431"/>
      <c r="L18" s="431"/>
      <c r="M18" s="364"/>
      <c r="N18" s="431"/>
      <c r="O18" s="431"/>
      <c r="P18" s="431"/>
      <c r="Q18" s="364"/>
      <c r="R18" s="431"/>
      <c r="S18" s="431"/>
      <c r="T18" s="431"/>
      <c r="U18" s="544"/>
      <c r="V18" s="545"/>
      <c r="W18" s="545"/>
      <c r="X18" s="545"/>
      <c r="Y18" s="544"/>
      <c r="Z18" s="545"/>
      <c r="AA18" s="545"/>
      <c r="AB18" s="545"/>
    </row>
    <row r="19" spans="1:28" x14ac:dyDescent="0.25">
      <c r="A19" s="135"/>
      <c r="B19" s="136" t="s">
        <v>195</v>
      </c>
      <c r="C19" s="137">
        <f>SUM(C11:C17)</f>
        <v>31664733022</v>
      </c>
      <c r="D19" s="137">
        <f>SUM(D11:D17)</f>
        <v>1081976800</v>
      </c>
      <c r="E19" s="137">
        <f>SUM(E11:E17)</f>
        <v>0</v>
      </c>
      <c r="F19" s="137">
        <f>SUM(F11:F17)</f>
        <v>32746709822</v>
      </c>
      <c r="G19" s="365">
        <f>SUM(G11:G17)</f>
        <v>573069650</v>
      </c>
      <c r="H19" s="365">
        <f t="shared" ref="H19" si="10">SUM(H11:H17)</f>
        <v>0</v>
      </c>
      <c r="I19" s="365">
        <f>SUM(I11:I17)</f>
        <v>33319779472</v>
      </c>
      <c r="J19" s="433">
        <f>SUM(J11:J17)</f>
        <v>783118850</v>
      </c>
      <c r="K19" s="431"/>
      <c r="L19" s="433">
        <f>SUM(L11:L18)</f>
        <v>34102898322</v>
      </c>
      <c r="M19" s="365">
        <f>SUM(M11:M17)</f>
        <v>34102898322</v>
      </c>
      <c r="N19" s="433">
        <f>SUM(N11:N17)</f>
        <v>463567978</v>
      </c>
      <c r="O19" s="431"/>
      <c r="P19" s="433">
        <f>SUM(P11:P18)</f>
        <v>34566466300</v>
      </c>
      <c r="Q19" s="365">
        <f>SUM(Q11:Q17)</f>
        <v>34566466300</v>
      </c>
      <c r="R19" s="433">
        <f>SUM(R11:R17)</f>
        <v>906101900</v>
      </c>
      <c r="S19" s="431"/>
      <c r="T19" s="433">
        <f>SUM(T11:T18)</f>
        <v>35472568200</v>
      </c>
      <c r="U19" s="433">
        <f t="shared" ref="U19:X19" si="11">SUM(U11:U18)</f>
        <v>35472568200</v>
      </c>
      <c r="V19" s="433">
        <f t="shared" si="11"/>
        <v>765786750</v>
      </c>
      <c r="W19" s="433">
        <f t="shared" si="11"/>
        <v>0</v>
      </c>
      <c r="X19" s="433">
        <f t="shared" si="11"/>
        <v>36238354950</v>
      </c>
      <c r="Y19" s="433">
        <f t="shared" ref="Y19:AA19" si="12">SUM(Y11:Y18)</f>
        <v>36238354950</v>
      </c>
      <c r="Z19" s="433">
        <f t="shared" si="12"/>
        <v>1002076000</v>
      </c>
      <c r="AA19" s="433">
        <f t="shared" si="12"/>
        <v>0</v>
      </c>
      <c r="AB19" s="433">
        <f>SUM(AB11:AB18)</f>
        <v>37240430950</v>
      </c>
    </row>
    <row r="20" spans="1:28" x14ac:dyDescent="0.25">
      <c r="S20" s="504"/>
    </row>
    <row r="21" spans="1:28" x14ac:dyDescent="0.25">
      <c r="V21" s="711" t="str">
        <f>'Aset Tetap Lainnya'!Q53</f>
        <v>Desa Klego, 31 Desember 2025</v>
      </c>
      <c r="W21" s="711"/>
      <c r="X21" s="711"/>
      <c r="Z21" s="711" t="str">
        <f>V21</f>
        <v>Desa Klego, 31 Desember 2025</v>
      </c>
      <c r="AA21" s="711"/>
      <c r="AB21" s="711"/>
    </row>
    <row r="22" spans="1:28" x14ac:dyDescent="0.25">
      <c r="V22" s="709" t="str">
        <f>'Aset Tetap Lainnya'!C55</f>
        <v>Kepala Desa Klego</v>
      </c>
      <c r="W22" s="709"/>
      <c r="X22" s="709"/>
      <c r="Z22" s="709" t="str">
        <f>V22</f>
        <v>Kepala Desa Klego</v>
      </c>
      <c r="AA22" s="709"/>
      <c r="AB22" s="709"/>
    </row>
    <row r="23" spans="1:28" x14ac:dyDescent="0.25">
      <c r="F23" s="287"/>
    </row>
    <row r="24" spans="1:28" x14ac:dyDescent="0.25">
      <c r="F24" s="287"/>
    </row>
    <row r="25" spans="1:28" x14ac:dyDescent="0.25">
      <c r="F25" s="287"/>
    </row>
    <row r="26" spans="1:28" x14ac:dyDescent="0.25">
      <c r="B26" s="288" t="s">
        <v>363</v>
      </c>
      <c r="V26" s="709" t="str">
        <f>'Aset Tetap Lainnya'!C59</f>
        <v>GUNTUR HERU SUPRAPTO, S.Pd</v>
      </c>
      <c r="W26" s="709"/>
      <c r="X26" s="709"/>
      <c r="Z26" s="709" t="str">
        <f>V26</f>
        <v>GUNTUR HERU SUPRAPTO, S.Pd</v>
      </c>
      <c r="AA26" s="709"/>
      <c r="AB26" s="709"/>
    </row>
    <row r="27" spans="1:28" x14ac:dyDescent="0.25">
      <c r="B27" s="139" t="s">
        <v>334</v>
      </c>
      <c r="C27" s="140" t="s">
        <v>336</v>
      </c>
    </row>
    <row r="28" spans="1:28" x14ac:dyDescent="0.25">
      <c r="B28" s="139" t="s">
        <v>335</v>
      </c>
      <c r="C28" s="140" t="s">
        <v>337</v>
      </c>
      <c r="F28" s="138"/>
    </row>
    <row r="29" spans="1:28" x14ac:dyDescent="0.25">
      <c r="B29" t="s">
        <v>364</v>
      </c>
      <c r="F29" s="138"/>
    </row>
    <row r="30" spans="1:28" x14ac:dyDescent="0.25">
      <c r="B30" t="s">
        <v>366</v>
      </c>
      <c r="F30" s="138"/>
    </row>
    <row r="31" spans="1:28" x14ac:dyDescent="0.25">
      <c r="B31" t="s">
        <v>365</v>
      </c>
      <c r="F31" s="138"/>
    </row>
    <row r="32" spans="1:28" x14ac:dyDescent="0.25">
      <c r="F32" s="138"/>
    </row>
    <row r="33" spans="6:6" x14ac:dyDescent="0.25">
      <c r="F33" s="138"/>
    </row>
  </sheetData>
  <mergeCells count="30">
    <mergeCell ref="Z26:AB26"/>
    <mergeCell ref="A2:AB2"/>
    <mergeCell ref="A3:AB3"/>
    <mergeCell ref="A4:AB4"/>
    <mergeCell ref="Y7:Y8"/>
    <mergeCell ref="Z7:AA7"/>
    <mergeCell ref="AB7:AB8"/>
    <mergeCell ref="Z21:AB21"/>
    <mergeCell ref="Z22:AB22"/>
    <mergeCell ref="V21:X21"/>
    <mergeCell ref="V22:X22"/>
    <mergeCell ref="V26:X26"/>
    <mergeCell ref="G7:H7"/>
    <mergeCell ref="I7:I8"/>
    <mergeCell ref="J7:K7"/>
    <mergeCell ref="L7:L8"/>
    <mergeCell ref="T7:T8"/>
    <mergeCell ref="U7:U8"/>
    <mergeCell ref="V7:W7"/>
    <mergeCell ref="X7:X8"/>
    <mergeCell ref="A7:A8"/>
    <mergeCell ref="B7:B8"/>
    <mergeCell ref="C7:C8"/>
    <mergeCell ref="D7:E7"/>
    <mergeCell ref="F7:F8"/>
    <mergeCell ref="M7:M8"/>
    <mergeCell ref="N7:O7"/>
    <mergeCell ref="P7:P8"/>
    <mergeCell ref="Q7:Q8"/>
    <mergeCell ref="R7:S7"/>
  </mergeCells>
  <printOptions horizontalCentered="1"/>
  <pageMargins left="0.98425196850393704" right="0.39370078740157483" top="0.39370078740157483" bottom="0.39370078740157483" header="0.31496062992125984" footer="0.31496062992125984"/>
  <pageSetup paperSize="1000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J104"/>
  <sheetViews>
    <sheetView view="pageBreakPreview" topLeftCell="B6" zoomScale="95" zoomScaleNormal="100" zoomScaleSheetLayoutView="95" workbookViewId="0">
      <selection activeCell="D19" sqref="D19"/>
    </sheetView>
  </sheetViews>
  <sheetFormatPr defaultRowHeight="15" x14ac:dyDescent="0.25"/>
  <cols>
    <col min="1" max="1" width="1" style="1" customWidth="1"/>
    <col min="2" max="2" width="59.85546875" style="1" customWidth="1"/>
    <col min="3" max="3" width="37.85546875" style="188" customWidth="1"/>
    <col min="4" max="4" width="19.140625" style="188" customWidth="1"/>
    <col min="5" max="5" width="1.140625" style="1" customWidth="1"/>
    <col min="6" max="6" width="16.85546875" style="1" bestFit="1" customWidth="1"/>
    <col min="7" max="7" width="12.7109375" style="1" bestFit="1" customWidth="1"/>
    <col min="8" max="16384" width="9.140625" style="1"/>
  </cols>
  <sheetData>
    <row r="1" spans="2:4" s="189" customFormat="1" ht="15.75" x14ac:dyDescent="0.25">
      <c r="C1" s="190"/>
      <c r="D1" s="190"/>
    </row>
    <row r="2" spans="2:4" x14ac:dyDescent="0.25">
      <c r="B2" s="192" t="s">
        <v>34</v>
      </c>
      <c r="C2" s="275"/>
      <c r="D2" s="462">
        <f>SUM(D3:D16)</f>
        <v>28670245600</v>
      </c>
    </row>
    <row r="3" spans="2:4" x14ac:dyDescent="0.25">
      <c r="B3" s="191" t="s">
        <v>356</v>
      </c>
      <c r="C3" s="273" t="s">
        <v>0</v>
      </c>
      <c r="D3" s="463"/>
    </row>
    <row r="4" spans="2:4" x14ac:dyDescent="0.25">
      <c r="B4" s="191"/>
      <c r="C4" s="269" t="s">
        <v>53</v>
      </c>
      <c r="D4" s="464">
        <f>SUM(Tanah!N61:N91)</f>
        <v>7703802600</v>
      </c>
    </row>
    <row r="5" spans="2:4" x14ac:dyDescent="0.25">
      <c r="B5" s="191"/>
      <c r="C5" s="269" t="s">
        <v>54</v>
      </c>
      <c r="D5" s="464">
        <f>Tanah!N13+Tanah!N14+Tanah!N16+Tanah!N17+Tanah!N18+Tanah!N19+Tanah!N24+Tanah!N25+Tanah!N26+Tanah!N32+Tanah!N33+Tanah!N34+Tanah!N35+Tanah!N36+Tanah!N37+Tanah!N38+Tanah!N39+Tanah!N40+Tanah!N41+Tanah!N42+Tanah!N43+Tanah!N44+Tanah!N45+Tanah!N46+Tanah!N47+Tanah!N48+Tanah!N49+Tanah!N50+Tanah!N51+Tanah!N53+Tanah!N54+Tanah!N55+Tanah!N56+Tanah!N57+Tanah!N58+Tanah!N59+Tanah!N60</f>
        <v>17576048000</v>
      </c>
    </row>
    <row r="6" spans="2:4" x14ac:dyDescent="0.25">
      <c r="B6" s="191"/>
      <c r="C6" s="269" t="s">
        <v>55</v>
      </c>
      <c r="D6" s="464"/>
    </row>
    <row r="7" spans="2:4" x14ac:dyDescent="0.25">
      <c r="B7" s="191"/>
      <c r="C7" s="269" t="s">
        <v>56</v>
      </c>
      <c r="D7" s="464"/>
    </row>
    <row r="8" spans="2:4" x14ac:dyDescent="0.25">
      <c r="B8" s="191"/>
      <c r="C8" s="269" t="s">
        <v>57</v>
      </c>
      <c r="D8" s="464"/>
    </row>
    <row r="9" spans="2:4" x14ac:dyDescent="0.25">
      <c r="B9" s="191"/>
      <c r="C9" s="269" t="s">
        <v>58</v>
      </c>
      <c r="D9" s="464"/>
    </row>
    <row r="10" spans="2:4" x14ac:dyDescent="0.25">
      <c r="B10" s="191"/>
      <c r="C10" s="269" t="s">
        <v>59</v>
      </c>
      <c r="D10" s="464"/>
    </row>
    <row r="11" spans="2:4" x14ac:dyDescent="0.25">
      <c r="B11" s="191"/>
      <c r="C11" s="269" t="s">
        <v>60</v>
      </c>
      <c r="D11" s="464"/>
    </row>
    <row r="12" spans="2:4" x14ac:dyDescent="0.25">
      <c r="B12" s="191"/>
      <c r="C12" s="269" t="s">
        <v>267</v>
      </c>
      <c r="D12" s="464"/>
    </row>
    <row r="13" spans="2:4" x14ac:dyDescent="0.25">
      <c r="B13" s="191"/>
      <c r="C13" s="269" t="s">
        <v>61</v>
      </c>
      <c r="D13" s="464"/>
    </row>
    <row r="14" spans="2:4" x14ac:dyDescent="0.25">
      <c r="B14" s="191"/>
      <c r="C14" s="269" t="s">
        <v>555</v>
      </c>
      <c r="D14" s="464">
        <f>Tanah!N15+Tanah!N20+Tanah!N22+Tanah!N23+Tanah!N52</f>
        <v>1556171000</v>
      </c>
    </row>
    <row r="15" spans="2:4" x14ac:dyDescent="0.25">
      <c r="B15" s="191"/>
      <c r="C15" s="269" t="s">
        <v>63</v>
      </c>
      <c r="D15" s="464"/>
    </row>
    <row r="16" spans="2:4" x14ac:dyDescent="0.25">
      <c r="B16" s="191"/>
      <c r="C16" s="276" t="s">
        <v>62</v>
      </c>
      <c r="D16" s="465">
        <f>Tanah!N21+Tanah!N27+Tanah!N28+Tanah!N29+Tanah!N30+Tanah!N31</f>
        <v>1834224000</v>
      </c>
    </row>
    <row r="17" spans="2:10" x14ac:dyDescent="0.25">
      <c r="B17" s="192" t="s">
        <v>33</v>
      </c>
      <c r="C17" s="275"/>
      <c r="D17" s="462">
        <f>SUM(D18:D37)</f>
        <v>627215000</v>
      </c>
    </row>
    <row r="18" spans="2:10" x14ac:dyDescent="0.25">
      <c r="B18" s="191" t="s">
        <v>1</v>
      </c>
      <c r="C18" s="273" t="s">
        <v>4</v>
      </c>
      <c r="D18" s="463">
        <f>'Peralatan Mesin'!P18+'Peralatan Mesin'!P19+'Peralatan Mesin'!P20+'Peralatan Mesin'!P21+'Peralatan Mesin'!P22+'Peralatan Mesin'!P37+'Peralatan Mesin'!P45+'Peralatan Mesin'!P53+'Peralatan Mesin'!P54+'Peralatan Mesin'!P55+'Peralatan Mesin'!P69+'Peralatan Mesin'!P93</f>
        <v>35090000</v>
      </c>
    </row>
    <row r="19" spans="2:10" x14ac:dyDescent="0.25">
      <c r="B19" s="191" t="s">
        <v>2</v>
      </c>
      <c r="C19" s="269" t="s">
        <v>5</v>
      </c>
      <c r="D19" s="464">
        <f>'Peralatan Mesin'!P27+'Peralatan Mesin'!P30+'Peralatan Mesin'!P31+'Peralatan Mesin'!P32+'Peralatan Mesin'!P33+'Peralatan Mesin'!P34+'Peralatan Mesin'!P35+'Peralatan Mesin'!P36+'Peralatan Mesin'!P47+'Peralatan Mesin'!P66+'Peralatan Mesin'!P67+'Peralatan Mesin'!P68+'Peralatan Mesin'!P78+'Peralatan Mesin'!P79+'Peralatan Mesin'!P85+'Peralatan Mesin'!P92+'Peralatan Mesin'!P105+'Peralatan Mesin'!P111+'Peralatan Mesin'!P112+'Peralatan Mesin'!P113</f>
        <v>172980000</v>
      </c>
      <c r="F19" s="494"/>
      <c r="G19" s="494"/>
      <c r="H19" s="493"/>
      <c r="I19" s="493"/>
      <c r="J19" s="493"/>
    </row>
    <row r="20" spans="2:10" x14ac:dyDescent="0.25">
      <c r="B20" s="191" t="s">
        <v>3</v>
      </c>
      <c r="C20" s="269" t="s">
        <v>6</v>
      </c>
      <c r="D20" s="464">
        <f>'Peralatan Mesin'!P13+'Peralatan Mesin'!P14+'Peralatan Mesin'!P15+'Peralatan Mesin'!P16+'Peralatan Mesin'!P17+'Peralatan Mesin'!P23+'Peralatan Mesin'!P24+'Peralatan Mesin'!P26+'Peralatan Mesin'!P28+'Peralatan Mesin'!P29+'Peralatan Mesin'!P38+'Peralatan Mesin'!P39+'Peralatan Mesin'!P40+'Peralatan Mesin'!P41+'Peralatan Mesin'!P42+'Peralatan Mesin'!P43+'Peralatan Mesin'!P44+'Peralatan Mesin'!P46+'Peralatan Mesin'!P48+'Peralatan Mesin'!P50+'Peralatan Mesin'!P51+'Peralatan Mesin'!P52+'Peralatan Mesin'!P56+'Peralatan Mesin'!P57+'Peralatan Mesin'!P104</f>
        <v>82295000</v>
      </c>
    </row>
    <row r="21" spans="2:10" x14ac:dyDescent="0.25">
      <c r="B21" s="191" t="s">
        <v>7</v>
      </c>
      <c r="C21" s="269" t="s">
        <v>6</v>
      </c>
      <c r="D21" s="464"/>
    </row>
    <row r="22" spans="2:10" x14ac:dyDescent="0.25">
      <c r="B22" s="191" t="s">
        <v>8</v>
      </c>
      <c r="C22" s="269" t="s">
        <v>13</v>
      </c>
      <c r="D22" s="464"/>
    </row>
    <row r="23" spans="2:10" x14ac:dyDescent="0.25">
      <c r="B23" s="191" t="s">
        <v>9</v>
      </c>
      <c r="C23" s="269" t="s">
        <v>14</v>
      </c>
      <c r="D23" s="464"/>
    </row>
    <row r="24" spans="2:10" x14ac:dyDescent="0.25">
      <c r="B24" s="191" t="s">
        <v>10</v>
      </c>
      <c r="C24" s="269" t="s">
        <v>16</v>
      </c>
      <c r="D24" s="464">
        <f>'Peralatan Mesin'!P77+'Peralatan Mesin'!P86</f>
        <v>5350000</v>
      </c>
    </row>
    <row r="25" spans="2:10" x14ac:dyDescent="0.25">
      <c r="B25" s="191" t="s">
        <v>11</v>
      </c>
      <c r="C25" s="269" t="s">
        <v>15</v>
      </c>
      <c r="D25" s="464"/>
    </row>
    <row r="26" spans="2:10" x14ac:dyDescent="0.25">
      <c r="B26" s="191" t="s">
        <v>12</v>
      </c>
      <c r="C26" s="269" t="s">
        <v>14</v>
      </c>
      <c r="D26" s="464">
        <f>'Peralatan Mesin'!P49</f>
        <v>7000000</v>
      </c>
    </row>
    <row r="27" spans="2:10" x14ac:dyDescent="0.25">
      <c r="B27" s="191" t="s">
        <v>17</v>
      </c>
      <c r="C27" s="269" t="s">
        <v>18</v>
      </c>
      <c r="D27" s="464"/>
    </row>
    <row r="28" spans="2:10" x14ac:dyDescent="0.25">
      <c r="B28" s="191" t="s">
        <v>19</v>
      </c>
      <c r="C28" s="269" t="s">
        <v>20</v>
      </c>
      <c r="D28" s="464"/>
    </row>
    <row r="29" spans="2:10" x14ac:dyDescent="0.25">
      <c r="B29" s="191" t="s">
        <v>21</v>
      </c>
      <c r="C29" s="269" t="s">
        <v>6</v>
      </c>
      <c r="D29" s="464"/>
    </row>
    <row r="30" spans="2:10" x14ac:dyDescent="0.25">
      <c r="B30" s="191" t="s">
        <v>22</v>
      </c>
      <c r="C30" s="269" t="s">
        <v>23</v>
      </c>
      <c r="D30" s="464"/>
    </row>
    <row r="31" spans="2:10" x14ac:dyDescent="0.25">
      <c r="B31" s="191" t="s">
        <v>24</v>
      </c>
      <c r="C31" s="269" t="s">
        <v>25</v>
      </c>
      <c r="D31" s="464"/>
    </row>
    <row r="32" spans="2:10" x14ac:dyDescent="0.25">
      <c r="B32" s="191" t="s">
        <v>26</v>
      </c>
      <c r="C32" s="269" t="s">
        <v>27</v>
      </c>
      <c r="D32" s="464"/>
    </row>
    <row r="33" spans="2:4" x14ac:dyDescent="0.25">
      <c r="B33" s="191" t="s">
        <v>28</v>
      </c>
      <c r="C33" s="269" t="s">
        <v>20</v>
      </c>
      <c r="D33" s="464"/>
    </row>
    <row r="34" spans="2:4" x14ac:dyDescent="0.25">
      <c r="B34" s="191" t="s">
        <v>29</v>
      </c>
      <c r="C34" s="269" t="s">
        <v>20</v>
      </c>
      <c r="D34" s="464">
        <f>'Peralatan Mesin'!P25+'Peralatan Mesin'!P80+'Peralatan Mesin'!P98</f>
        <v>324500000</v>
      </c>
    </row>
    <row r="35" spans="2:4" x14ac:dyDescent="0.25">
      <c r="B35" s="191" t="s">
        <v>30</v>
      </c>
      <c r="C35" s="269" t="s">
        <v>20</v>
      </c>
      <c r="D35" s="464"/>
    </row>
    <row r="36" spans="2:4" x14ac:dyDescent="0.25">
      <c r="B36" s="191" t="s">
        <v>31</v>
      </c>
      <c r="C36" s="269" t="s">
        <v>20</v>
      </c>
      <c r="D36" s="464"/>
    </row>
    <row r="37" spans="2:4" x14ac:dyDescent="0.25">
      <c r="B37" s="191" t="s">
        <v>32</v>
      </c>
      <c r="C37" s="276" t="s">
        <v>20</v>
      </c>
      <c r="D37" s="465"/>
    </row>
    <row r="38" spans="2:4" x14ac:dyDescent="0.25">
      <c r="B38" s="192" t="s">
        <v>35</v>
      </c>
      <c r="C38" s="275"/>
      <c r="D38" s="462">
        <f>SUM(D39:D63)</f>
        <v>853414000</v>
      </c>
    </row>
    <row r="39" spans="2:4" x14ac:dyDescent="0.25">
      <c r="B39" s="191" t="s">
        <v>357</v>
      </c>
      <c r="C39" s="273" t="s">
        <v>64</v>
      </c>
      <c r="D39" s="463">
        <f>'Gedung Bangunan'!P12+'Gedung Bangunan'!P14+'Gedung Bangunan'!P17+'Gedung Bangunan'!P30+'Gedung Bangunan'!P42+'Gedung Bangunan'!P43</f>
        <v>507184000</v>
      </c>
    </row>
    <row r="40" spans="2:4" x14ac:dyDescent="0.25">
      <c r="B40" s="191"/>
      <c r="C40" s="269" t="s">
        <v>65</v>
      </c>
      <c r="D40" s="464"/>
    </row>
    <row r="41" spans="2:4" x14ac:dyDescent="0.25">
      <c r="B41" s="191"/>
      <c r="C41" s="269" t="s">
        <v>66</v>
      </c>
      <c r="D41" s="464"/>
    </row>
    <row r="42" spans="2:4" x14ac:dyDescent="0.25">
      <c r="B42" s="191"/>
      <c r="C42" s="269" t="s">
        <v>67</v>
      </c>
      <c r="D42" s="464"/>
    </row>
    <row r="43" spans="2:4" x14ac:dyDescent="0.25">
      <c r="B43" s="191"/>
      <c r="C43" s="269" t="s">
        <v>68</v>
      </c>
      <c r="D43" s="464"/>
    </row>
    <row r="44" spans="2:4" x14ac:dyDescent="0.25">
      <c r="B44" s="191"/>
      <c r="C44" s="269" t="s">
        <v>69</v>
      </c>
      <c r="D44" s="464">
        <f>'Gedung Bangunan'!P15</f>
        <v>15000000</v>
      </c>
    </row>
    <row r="45" spans="2:4" x14ac:dyDescent="0.25">
      <c r="B45" s="191"/>
      <c r="C45" s="269" t="s">
        <v>70</v>
      </c>
      <c r="D45" s="464">
        <f>'Gedung Bangunan'!P19+'Gedung Bangunan'!P41</f>
        <v>41288000</v>
      </c>
    </row>
    <row r="46" spans="2:4" x14ac:dyDescent="0.25">
      <c r="B46" s="191"/>
      <c r="C46" s="269" t="s">
        <v>71</v>
      </c>
      <c r="D46" s="464">
        <f>'Gedung Bangunan'!P13</f>
        <v>100000000</v>
      </c>
    </row>
    <row r="47" spans="2:4" x14ac:dyDescent="0.25">
      <c r="B47" s="191"/>
      <c r="C47" s="269" t="s">
        <v>72</v>
      </c>
      <c r="D47" s="464">
        <f>'Gedung Bangunan'!P29+'Gedung Bangunan'!P63+'Gedung Bangunan'!P64</f>
        <v>26694000</v>
      </c>
    </row>
    <row r="48" spans="2:4" x14ac:dyDescent="0.25">
      <c r="B48" s="191"/>
      <c r="C48" s="269" t="s">
        <v>73</v>
      </c>
      <c r="D48" s="464"/>
    </row>
    <row r="49" spans="2:4" ht="30" x14ac:dyDescent="0.25">
      <c r="B49" s="191"/>
      <c r="C49" s="461" t="s">
        <v>74</v>
      </c>
      <c r="D49" s="468">
        <f>'Gedung Bangunan'!P16</f>
        <v>105000000</v>
      </c>
    </row>
    <row r="50" spans="2:4" x14ac:dyDescent="0.25">
      <c r="B50" s="191"/>
      <c r="C50" s="269" t="s">
        <v>75</v>
      </c>
      <c r="D50" s="464"/>
    </row>
    <row r="51" spans="2:4" x14ac:dyDescent="0.25">
      <c r="B51" s="191"/>
      <c r="C51" s="269" t="s">
        <v>76</v>
      </c>
      <c r="D51" s="464"/>
    </row>
    <row r="52" spans="2:4" x14ac:dyDescent="0.25">
      <c r="B52" s="191"/>
      <c r="C52" s="269" t="s">
        <v>77</v>
      </c>
      <c r="D52" s="464"/>
    </row>
    <row r="53" spans="2:4" x14ac:dyDescent="0.25">
      <c r="B53" s="191"/>
      <c r="C53" s="269" t="s">
        <v>78</v>
      </c>
      <c r="D53" s="464"/>
    </row>
    <row r="54" spans="2:4" x14ac:dyDescent="0.25">
      <c r="B54" s="191"/>
      <c r="C54" s="269" t="s">
        <v>79</v>
      </c>
      <c r="D54" s="464"/>
    </row>
    <row r="55" spans="2:4" x14ac:dyDescent="0.25">
      <c r="B55" s="191"/>
      <c r="C55" s="269" t="s">
        <v>80</v>
      </c>
      <c r="D55" s="464"/>
    </row>
    <row r="56" spans="2:4" x14ac:dyDescent="0.25">
      <c r="B56" s="191"/>
      <c r="C56" s="269" t="s">
        <v>81</v>
      </c>
      <c r="D56" s="464"/>
    </row>
    <row r="57" spans="2:4" ht="30" x14ac:dyDescent="0.25">
      <c r="B57" s="191"/>
      <c r="C57" s="314" t="s">
        <v>82</v>
      </c>
      <c r="D57" s="464"/>
    </row>
    <row r="58" spans="2:4" x14ac:dyDescent="0.25">
      <c r="B58" s="191"/>
      <c r="C58" s="269" t="s">
        <v>83</v>
      </c>
      <c r="D58" s="464"/>
    </row>
    <row r="59" spans="2:4" x14ac:dyDescent="0.25">
      <c r="B59" s="191"/>
      <c r="C59" s="269" t="s">
        <v>84</v>
      </c>
      <c r="D59" s="464"/>
    </row>
    <row r="60" spans="2:4" x14ac:dyDescent="0.25">
      <c r="B60" s="191"/>
      <c r="C60" s="269" t="s">
        <v>36</v>
      </c>
      <c r="D60" s="464">
        <f>'Gedung Bangunan'!P20+'Gedung Bangunan'!P24+'Gedung Bangunan'!P25</f>
        <v>31508000</v>
      </c>
    </row>
    <row r="61" spans="2:4" x14ac:dyDescent="0.25">
      <c r="B61" s="191"/>
      <c r="C61" s="269" t="s">
        <v>85</v>
      </c>
      <c r="D61" s="464">
        <f>'Gedung Bangunan'!P18+'Gedung Bangunan'!P40</f>
        <v>26740000</v>
      </c>
    </row>
    <row r="62" spans="2:4" x14ac:dyDescent="0.25">
      <c r="B62" s="191"/>
      <c r="C62" s="269" t="s">
        <v>86</v>
      </c>
      <c r="D62" s="464"/>
    </row>
    <row r="63" spans="2:4" x14ac:dyDescent="0.25">
      <c r="B63" s="191"/>
      <c r="C63" s="276" t="s">
        <v>87</v>
      </c>
      <c r="D63" s="465"/>
    </row>
    <row r="64" spans="2:4" x14ac:dyDescent="0.25">
      <c r="B64" s="192" t="s">
        <v>37</v>
      </c>
      <c r="C64" s="275"/>
      <c r="D64" s="462">
        <f>SUM(D65:D84)</f>
        <v>7050375350</v>
      </c>
    </row>
    <row r="65" spans="2:4" x14ac:dyDescent="0.25">
      <c r="B65" s="191" t="s">
        <v>358</v>
      </c>
      <c r="C65" s="273" t="s">
        <v>38</v>
      </c>
      <c r="D65" s="463">
        <f>SUM('Jalan Jembatan Irigasi'!Q13:Q39)+SUM('Jalan Jembatan Irigasi'!Q45:Q64)+SUM('Jalan Jembatan Irigasi'!Q68:Q85)+SUM('Jalan Jembatan Irigasi'!Q94:Q104)+SUM('Jalan Jembatan Irigasi'!Q109:Q115)+SUM('Jalan Jembatan Irigasi'!Q117:Q124)+SUM('Jalan Jembatan Irigasi'!Q127:Q128)+SUM('Jalan Jembatan Irigasi'!Q133:Q140)+SUM('Jalan Jembatan Irigasi'!Q148:Q150)+SUM('Jalan Jembatan Irigasi'!Q156:Q157)+SUM('Jalan Jembatan Irigasi'!Q162:Q171)+SUM('Jalan Jembatan Irigasi'!Q176:Q177)+SUM('Jalan Jembatan Irigasi'!Q179:Q195)</f>
        <v>6596035350</v>
      </c>
    </row>
    <row r="66" spans="2:4" x14ac:dyDescent="0.25">
      <c r="B66" s="191" t="s">
        <v>359</v>
      </c>
      <c r="C66" s="269" t="s">
        <v>39</v>
      </c>
      <c r="D66" s="464">
        <f>'Jalan Jembatan Irigasi'!Q12</f>
        <v>85000000</v>
      </c>
    </row>
    <row r="67" spans="2:4" x14ac:dyDescent="0.25">
      <c r="B67" s="191" t="s">
        <v>360</v>
      </c>
      <c r="C67" s="269" t="s">
        <v>40</v>
      </c>
      <c r="D67" s="464">
        <f>'Jalan Jembatan Irigasi'!Q125</f>
        <v>12772000</v>
      </c>
    </row>
    <row r="68" spans="2:4" x14ac:dyDescent="0.25">
      <c r="B68" s="191"/>
      <c r="C68" s="269" t="s">
        <v>88</v>
      </c>
      <c r="D68" s="464"/>
    </row>
    <row r="69" spans="2:4" x14ac:dyDescent="0.25">
      <c r="B69" s="191"/>
      <c r="C69" s="269" t="s">
        <v>89</v>
      </c>
      <c r="D69" s="464"/>
    </row>
    <row r="70" spans="2:4" x14ac:dyDescent="0.25">
      <c r="B70" s="191"/>
      <c r="C70" s="269" t="s">
        <v>90</v>
      </c>
      <c r="D70" s="464"/>
    </row>
    <row r="71" spans="2:4" ht="30" x14ac:dyDescent="0.25">
      <c r="B71" s="191"/>
      <c r="C71" s="314" t="s">
        <v>91</v>
      </c>
      <c r="D71" s="464"/>
    </row>
    <row r="72" spans="2:4" x14ac:dyDescent="0.25">
      <c r="B72" s="191"/>
      <c r="C72" s="269" t="s">
        <v>92</v>
      </c>
      <c r="D72" s="464">
        <f>'Jalan Jembatan Irigasi'!Q126+'Jalan Jembatan Irigasi'!Q147+SUM('Jalan Jembatan Irigasi'!Q151:Q155)+'Jalan Jembatan Irigasi'!Q178</f>
        <v>277050000</v>
      </c>
    </row>
    <row r="73" spans="2:4" x14ac:dyDescent="0.25">
      <c r="B73" s="191"/>
      <c r="C73" s="269" t="s">
        <v>93</v>
      </c>
      <c r="D73" s="464"/>
    </row>
    <row r="74" spans="2:4" x14ac:dyDescent="0.25">
      <c r="B74" s="191" t="s">
        <v>361</v>
      </c>
      <c r="C74" s="269" t="s">
        <v>94</v>
      </c>
      <c r="D74" s="464">
        <f>'Jalan Jembatan Irigasi'!Q40+'Jalan Jembatan Irigasi'!Q41+'Jalan Jembatan Irigasi'!Q42+'Jalan Jembatan Irigasi'!Q43+'Jalan Jembatan Irigasi'!Q44+'Jalan Jembatan Irigasi'!Q116+'Jalan Jembatan Irigasi'!Q141</f>
        <v>72973000</v>
      </c>
    </row>
    <row r="75" spans="2:4" x14ac:dyDescent="0.25">
      <c r="B75" s="191"/>
      <c r="C75" s="269" t="s">
        <v>95</v>
      </c>
      <c r="D75" s="464"/>
    </row>
    <row r="76" spans="2:4" x14ac:dyDescent="0.25">
      <c r="B76" s="191"/>
      <c r="C76" s="269" t="s">
        <v>96</v>
      </c>
      <c r="D76" s="464"/>
    </row>
    <row r="77" spans="2:4" x14ac:dyDescent="0.25">
      <c r="B77" s="191"/>
      <c r="C77" s="269" t="s">
        <v>99</v>
      </c>
      <c r="D77" s="464"/>
    </row>
    <row r="78" spans="2:4" x14ac:dyDescent="0.25">
      <c r="B78" s="191"/>
      <c r="C78" s="269" t="s">
        <v>97</v>
      </c>
      <c r="D78" s="464"/>
    </row>
    <row r="79" spans="2:4" x14ac:dyDescent="0.25">
      <c r="B79" s="191"/>
      <c r="C79" s="269" t="s">
        <v>98</v>
      </c>
      <c r="D79" s="464"/>
    </row>
    <row r="80" spans="2:4" x14ac:dyDescent="0.25">
      <c r="B80" s="191"/>
      <c r="C80" s="269" t="s">
        <v>41</v>
      </c>
      <c r="D80" s="464"/>
    </row>
    <row r="81" spans="2:4" x14ac:dyDescent="0.25">
      <c r="B81" s="191"/>
      <c r="C81" s="269" t="s">
        <v>100</v>
      </c>
      <c r="D81" s="464"/>
    </row>
    <row r="82" spans="2:4" x14ac:dyDescent="0.25">
      <c r="B82" s="191"/>
      <c r="C82" s="269" t="s">
        <v>101</v>
      </c>
      <c r="D82" s="464">
        <f>'Jalan Jembatan Irigasi'!Q108</f>
        <v>6545000</v>
      </c>
    </row>
    <row r="83" spans="2:4" x14ac:dyDescent="0.25">
      <c r="B83" s="191"/>
      <c r="C83" s="269" t="s">
        <v>102</v>
      </c>
      <c r="D83" s="464"/>
    </row>
    <row r="84" spans="2:4" x14ac:dyDescent="0.25">
      <c r="B84" s="191"/>
      <c r="C84" s="276" t="s">
        <v>103</v>
      </c>
      <c r="D84" s="465"/>
    </row>
    <row r="85" spans="2:4" x14ac:dyDescent="0.25">
      <c r="B85" s="192" t="s">
        <v>199</v>
      </c>
      <c r="C85" s="275"/>
      <c r="D85" s="462">
        <f>SUM(D86:D91)</f>
        <v>9701000</v>
      </c>
    </row>
    <row r="86" spans="2:4" x14ac:dyDescent="0.25">
      <c r="B86" s="191" t="s">
        <v>42</v>
      </c>
      <c r="C86" s="273" t="s">
        <v>49</v>
      </c>
      <c r="D86" s="463">
        <f>'Aset Tetap Lainnya'!P20</f>
        <v>1000</v>
      </c>
    </row>
    <row r="87" spans="2:4" ht="30" x14ac:dyDescent="0.25">
      <c r="B87" s="467" t="s">
        <v>43</v>
      </c>
      <c r="C87" s="452" t="s">
        <v>50</v>
      </c>
      <c r="D87" s="468"/>
    </row>
    <row r="88" spans="2:4" ht="30" x14ac:dyDescent="0.25">
      <c r="B88" s="467" t="s">
        <v>44</v>
      </c>
      <c r="C88" s="452" t="s">
        <v>50</v>
      </c>
      <c r="D88" s="468"/>
    </row>
    <row r="89" spans="2:4" x14ac:dyDescent="0.25">
      <c r="B89" s="191" t="s">
        <v>45</v>
      </c>
      <c r="C89" s="269" t="s">
        <v>51</v>
      </c>
      <c r="D89" s="464">
        <f>SUM('Aset Tetap Lainnya'!P12:P19)</f>
        <v>9700000</v>
      </c>
    </row>
    <row r="90" spans="2:4" x14ac:dyDescent="0.25">
      <c r="B90" s="191" t="s">
        <v>46</v>
      </c>
      <c r="C90" s="269" t="s">
        <v>52</v>
      </c>
      <c r="D90" s="464"/>
    </row>
    <row r="91" spans="2:4" x14ac:dyDescent="0.25">
      <c r="B91" s="191" t="s">
        <v>47</v>
      </c>
      <c r="C91" s="276" t="s">
        <v>49</v>
      </c>
      <c r="D91" s="465"/>
    </row>
    <row r="92" spans="2:4" x14ac:dyDescent="0.25">
      <c r="B92" s="192" t="s">
        <v>200</v>
      </c>
      <c r="C92" s="275"/>
      <c r="D92" s="462">
        <f>D93</f>
        <v>29480000</v>
      </c>
    </row>
    <row r="93" spans="2:4" x14ac:dyDescent="0.25">
      <c r="B93" s="191" t="s">
        <v>48</v>
      </c>
      <c r="C93" s="502" t="s">
        <v>367</v>
      </c>
      <c r="D93" s="503">
        <f>'Aset Tetap Lainnya'!P24</f>
        <v>29480000</v>
      </c>
    </row>
    <row r="94" spans="2:4" x14ac:dyDescent="0.25">
      <c r="B94" s="191"/>
      <c r="C94" s="276"/>
      <c r="D94" s="465"/>
    </row>
    <row r="95" spans="2:4" s="194" customFormat="1" ht="15.75" x14ac:dyDescent="0.25">
      <c r="B95" s="193" t="s">
        <v>362</v>
      </c>
      <c r="C95" s="283"/>
      <c r="D95" s="466">
        <f>D2+D17+D38+D64+D85+D92</f>
        <v>37240430950</v>
      </c>
    </row>
    <row r="97" spans="2:4" x14ac:dyDescent="0.25">
      <c r="C97" s="669" t="s">
        <v>725</v>
      </c>
      <c r="D97" s="669"/>
    </row>
    <row r="98" spans="2:4" x14ac:dyDescent="0.25">
      <c r="B98" s="1" t="s">
        <v>674</v>
      </c>
    </row>
    <row r="99" spans="2:4" x14ac:dyDescent="0.25">
      <c r="B99" s="1" t="s">
        <v>673</v>
      </c>
      <c r="C99" s="712" t="s">
        <v>197</v>
      </c>
      <c r="D99" s="712"/>
    </row>
    <row r="104" spans="2:4" x14ac:dyDescent="0.25">
      <c r="B104" s="1" t="s">
        <v>672</v>
      </c>
      <c r="C104" s="712" t="s">
        <v>593</v>
      </c>
      <c r="D104" s="712"/>
    </row>
  </sheetData>
  <mergeCells count="3">
    <mergeCell ref="C97:D97"/>
    <mergeCell ref="C99:D99"/>
    <mergeCell ref="C104:D104"/>
  </mergeCells>
  <printOptions horizontalCentered="1"/>
  <pageMargins left="0.98425196850393704" right="0.39370078740157483" top="0.39370078740157483" bottom="0.39370078740157483" header="0.31496062992125984" footer="0.31496062992125984"/>
  <pageSetup paperSize="10000" scale="73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Tanah</vt:lpstr>
      <vt:lpstr>Peralatan Mesin</vt:lpstr>
      <vt:lpstr>Gedung Bangunan</vt:lpstr>
      <vt:lpstr>Jalan Jembatan Irigasi</vt:lpstr>
      <vt:lpstr>Aset Tetap Lainnya</vt:lpstr>
      <vt:lpstr>Rekap Aset Tetap</vt:lpstr>
      <vt:lpstr>RincianSiskeu</vt:lpstr>
      <vt:lpstr>'Aset Tetap Lainnya'!Print_Area</vt:lpstr>
      <vt:lpstr>'Gedung Bangunan'!Print_Area</vt:lpstr>
      <vt:lpstr>'Jalan Jembatan Irigasi'!Print_Area</vt:lpstr>
      <vt:lpstr>'Peralatan Mesin'!Print_Area</vt:lpstr>
      <vt:lpstr>'Rekap Aset Tetap'!Print_Area</vt:lpstr>
      <vt:lpstr>RincianSiskeu!Print_Area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sepu10h</cp:lastModifiedBy>
  <cp:lastPrinted>2026-01-16T03:23:36Z</cp:lastPrinted>
  <dcterms:created xsi:type="dcterms:W3CDTF">2020-09-14T02:07:21Z</dcterms:created>
  <dcterms:modified xsi:type="dcterms:W3CDTF">2026-01-26T08:11:45Z</dcterms:modified>
</cp:coreProperties>
</file>