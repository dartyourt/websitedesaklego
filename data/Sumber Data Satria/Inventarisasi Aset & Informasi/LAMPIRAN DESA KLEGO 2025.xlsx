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FILE 2026\LAPORAN PERTANGGUNGJAWABAN APBDesa TA 2025\DESA KLEGO ASET\ASAET DESA KLEGO 2025\"/>
    </mc:Choice>
  </mc:AlternateContent>
  <bookViews>
    <workbookView xWindow="0" yWindow="0" windowWidth="20490" windowHeight="7755"/>
  </bookViews>
  <sheets>
    <sheet name="Silpa" sheetId="5" r:id="rId1"/>
    <sheet name="Piutang" sheetId="4" r:id="rId2"/>
    <sheet name="Persediaan" sheetId="2" r:id="rId3"/>
    <sheet name="Investasi" sheetId="3" r:id="rId4"/>
    <sheet name="Dana Cadangan" sheetId="6" r:id="rId5"/>
    <sheet name="Pajak" sheetId="8" r:id="rId6"/>
    <sheet name="Aset" sheetId="7" r:id="rId7"/>
    <sheet name="KK" sheetId="1" r:id="rId8"/>
  </sheets>
  <definedNames>
    <definedName name="_xlnm.Print_Area" localSheetId="6">Aset!$A$1:$H$99</definedName>
    <definedName name="_xlnm.Print_Area" localSheetId="4">'Dana Cadangan'!$A$1:$F$22</definedName>
    <definedName name="_xlnm.Print_Area" localSheetId="7">KK!$A$1:$F$129</definedName>
    <definedName name="_xlnm.Print_Area" localSheetId="5">Pajak!$A$1:$F$23</definedName>
    <definedName name="_xlnm.Print_Area" localSheetId="1">Piutang!$A$1:$G$29</definedName>
    <definedName name="_xlnm.Print_Area" localSheetId="0">Silpa!$A$1:$C$31</definedName>
    <definedName name="_xlnm.Print_Titles" localSheetId="6">Aset!$5:$7</definedName>
    <definedName name="_xlnm.Print_Titles" localSheetId="7">KK!$3:$3</definedName>
  </definedNames>
  <calcPr calcId="152511"/>
</workbook>
</file>

<file path=xl/calcChain.xml><?xml version="1.0" encoding="utf-8"?>
<calcChain xmlns="http://schemas.openxmlformats.org/spreadsheetml/2006/main">
  <c r="O22" i="4" l="1"/>
  <c r="C23" i="5"/>
  <c r="C13" i="5"/>
  <c r="C10" i="5"/>
  <c r="H119" i="1" l="1"/>
  <c r="G119" i="1"/>
  <c r="G16" i="1"/>
  <c r="G15" i="1"/>
  <c r="G17" i="1"/>
  <c r="G6" i="1"/>
  <c r="G4" i="1"/>
  <c r="G7" i="1"/>
  <c r="E121" i="1"/>
  <c r="H120" i="1"/>
  <c r="C6" i="5"/>
  <c r="D7" i="1" l="1"/>
  <c r="D63" i="7"/>
  <c r="D26" i="7"/>
  <c r="D25" i="7"/>
  <c r="D9" i="2"/>
  <c r="E22" i="4" l="1"/>
  <c r="D22" i="4"/>
  <c r="G13" i="4"/>
  <c r="G12" i="4"/>
  <c r="B4" i="5"/>
  <c r="C9" i="5" l="1"/>
  <c r="B23" i="5" l="1"/>
  <c r="G44" i="1" l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9" i="1"/>
  <c r="G80" i="1"/>
  <c r="G16" i="4"/>
  <c r="G17" i="4"/>
  <c r="D70" i="7"/>
  <c r="D32" i="7"/>
  <c r="F10" i="6"/>
  <c r="G11" i="4"/>
  <c r="F22" i="4"/>
  <c r="G10" i="4"/>
  <c r="D104" i="1" l="1"/>
  <c r="E23" i="7" l="1"/>
  <c r="D10" i="1" l="1"/>
  <c r="D11" i="1" l="1"/>
  <c r="G10" i="1" s="1"/>
  <c r="E18" i="2" l="1"/>
  <c r="E16" i="1" s="1"/>
  <c r="G72" i="7" l="1"/>
  <c r="G59" i="7" l="1"/>
  <c r="G43" i="7"/>
  <c r="F24" i="4" l="1"/>
  <c r="J20" i="2" s="1"/>
  <c r="F15" i="3" s="1"/>
  <c r="E17" i="6" s="1"/>
  <c r="F94" i="7" s="1"/>
  <c r="E17" i="8" s="1"/>
  <c r="D124" i="1" s="1"/>
  <c r="M21" i="4" l="1"/>
  <c r="K21" i="4"/>
  <c r="L21" i="4" s="1"/>
  <c r="J21" i="4"/>
  <c r="L20" i="4"/>
  <c r="N20" i="4" s="1"/>
  <c r="L19" i="4"/>
  <c r="N19" i="4" s="1"/>
  <c r="N21" i="4" l="1"/>
  <c r="D62" i="7" l="1"/>
  <c r="G9" i="3" l="1"/>
  <c r="L10" i="2" l="1"/>
  <c r="L11" i="2"/>
  <c r="L12" i="2"/>
  <c r="L13" i="2"/>
  <c r="L14" i="2"/>
  <c r="L15" i="2"/>
  <c r="E83" i="7" l="1"/>
  <c r="G24" i="7"/>
  <c r="D23" i="7"/>
  <c r="D14" i="6" l="1"/>
  <c r="D17" i="1"/>
  <c r="D18" i="1"/>
  <c r="D19" i="1"/>
  <c r="D20" i="1"/>
  <c r="D21" i="1"/>
  <c r="G10" i="3"/>
  <c r="D12" i="1"/>
  <c r="D13" i="1"/>
  <c r="D14" i="1"/>
  <c r="D9" i="1"/>
  <c r="D8" i="1"/>
  <c r="D6" i="1"/>
  <c r="D4" i="1" l="1"/>
  <c r="E6" i="1"/>
  <c r="F10" i="8" l="1"/>
  <c r="F11" i="8"/>
  <c r="F12" i="8"/>
  <c r="F13" i="8"/>
  <c r="F9" i="8"/>
  <c r="D14" i="8"/>
  <c r="E14" i="8"/>
  <c r="C14" i="8"/>
  <c r="D115" i="1" s="1"/>
  <c r="F14" i="8" l="1"/>
  <c r="E115" i="1" s="1"/>
  <c r="D99" i="1"/>
  <c r="D100" i="1"/>
  <c r="D101" i="1"/>
  <c r="D102" i="1"/>
  <c r="D98" i="1"/>
  <c r="G85" i="7"/>
  <c r="E99" i="1" s="1"/>
  <c r="G86" i="7"/>
  <c r="E100" i="1" s="1"/>
  <c r="G87" i="7"/>
  <c r="E101" i="1" s="1"/>
  <c r="G88" i="7"/>
  <c r="E102" i="1" s="1"/>
  <c r="F83" i="7"/>
  <c r="D83" i="7"/>
  <c r="G84" i="7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78" i="1"/>
  <c r="G82" i="7"/>
  <c r="E97" i="1" s="1"/>
  <c r="G81" i="7"/>
  <c r="E96" i="1" s="1"/>
  <c r="G80" i="7"/>
  <c r="E95" i="1" s="1"/>
  <c r="G79" i="7"/>
  <c r="E94" i="1" s="1"/>
  <c r="G78" i="7"/>
  <c r="E93" i="1" s="1"/>
  <c r="G77" i="7"/>
  <c r="E92" i="1" s="1"/>
  <c r="G76" i="7"/>
  <c r="E91" i="1" s="1"/>
  <c r="G75" i="7"/>
  <c r="E90" i="1" s="1"/>
  <c r="G74" i="7"/>
  <c r="E89" i="1" s="1"/>
  <c r="G73" i="7"/>
  <c r="E88" i="1" s="1"/>
  <c r="E87" i="1"/>
  <c r="G71" i="7"/>
  <c r="E86" i="1" s="1"/>
  <c r="G70" i="7"/>
  <c r="E85" i="1" s="1"/>
  <c r="G69" i="7"/>
  <c r="E84" i="1" s="1"/>
  <c r="G68" i="7"/>
  <c r="E83" i="1" s="1"/>
  <c r="G67" i="7"/>
  <c r="E82" i="1" s="1"/>
  <c r="G66" i="7"/>
  <c r="E81" i="1" s="1"/>
  <c r="G65" i="7"/>
  <c r="E80" i="1" s="1"/>
  <c r="G64" i="7"/>
  <c r="E79" i="1" s="1"/>
  <c r="G63" i="7"/>
  <c r="E62" i="7"/>
  <c r="F62" i="7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53" i="1"/>
  <c r="G61" i="7"/>
  <c r="E77" i="1" s="1"/>
  <c r="G60" i="7"/>
  <c r="E76" i="1" s="1"/>
  <c r="E75" i="1"/>
  <c r="G58" i="7"/>
  <c r="E74" i="1" s="1"/>
  <c r="G57" i="7"/>
  <c r="E73" i="1" s="1"/>
  <c r="G56" i="7"/>
  <c r="E72" i="1" s="1"/>
  <c r="G55" i="7"/>
  <c r="E71" i="1" s="1"/>
  <c r="G54" i="7"/>
  <c r="E70" i="1" s="1"/>
  <c r="G53" i="7"/>
  <c r="E69" i="1" s="1"/>
  <c r="G52" i="7"/>
  <c r="E68" i="1" s="1"/>
  <c r="G51" i="7"/>
  <c r="E67" i="1" s="1"/>
  <c r="G50" i="7"/>
  <c r="E66" i="1" s="1"/>
  <c r="G49" i="7"/>
  <c r="E65" i="1" s="1"/>
  <c r="G48" i="7"/>
  <c r="E64" i="1" s="1"/>
  <c r="G47" i="7"/>
  <c r="E63" i="1" s="1"/>
  <c r="G46" i="7"/>
  <c r="E62" i="1" s="1"/>
  <c r="G45" i="7"/>
  <c r="E61" i="1" s="1"/>
  <c r="G61" i="1" s="1"/>
  <c r="G44" i="7"/>
  <c r="E60" i="1" s="1"/>
  <c r="E59" i="1"/>
  <c r="G42" i="7"/>
  <c r="E58" i="1" s="1"/>
  <c r="G41" i="7"/>
  <c r="E57" i="1" s="1"/>
  <c r="G40" i="7"/>
  <c r="E56" i="1" s="1"/>
  <c r="G39" i="7"/>
  <c r="E55" i="1" s="1"/>
  <c r="G38" i="7"/>
  <c r="E54" i="1" s="1"/>
  <c r="G37" i="7"/>
  <c r="E53" i="1" s="1"/>
  <c r="E36" i="7"/>
  <c r="F36" i="7"/>
  <c r="D36" i="7"/>
  <c r="D42" i="1"/>
  <c r="D43" i="1"/>
  <c r="D44" i="1"/>
  <c r="D45" i="1"/>
  <c r="D46" i="1"/>
  <c r="D47" i="1"/>
  <c r="D48" i="1"/>
  <c r="D49" i="1"/>
  <c r="D50" i="1"/>
  <c r="D51" i="1"/>
  <c r="D52" i="1"/>
  <c r="D41" i="1"/>
  <c r="G35" i="7"/>
  <c r="E52" i="1" s="1"/>
  <c r="G34" i="7"/>
  <c r="E51" i="1" s="1"/>
  <c r="G33" i="7"/>
  <c r="E50" i="1" s="1"/>
  <c r="G32" i="7"/>
  <c r="E49" i="1" s="1"/>
  <c r="G31" i="7"/>
  <c r="E48" i="1" s="1"/>
  <c r="G30" i="7"/>
  <c r="E47" i="1" s="1"/>
  <c r="G29" i="7"/>
  <c r="E46" i="1" s="1"/>
  <c r="G28" i="7"/>
  <c r="E45" i="1" s="1"/>
  <c r="G27" i="7"/>
  <c r="E44" i="1" s="1"/>
  <c r="G26" i="7"/>
  <c r="E43" i="1" s="1"/>
  <c r="G43" i="1" s="1"/>
  <c r="G25" i="7"/>
  <c r="E41" i="1"/>
  <c r="F23" i="7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7" i="1"/>
  <c r="G10" i="7"/>
  <c r="E28" i="1" s="1"/>
  <c r="G11" i="7"/>
  <c r="E29" i="1" s="1"/>
  <c r="G12" i="7"/>
  <c r="E30" i="1" s="1"/>
  <c r="G13" i="7"/>
  <c r="E31" i="1" s="1"/>
  <c r="G14" i="7"/>
  <c r="E32" i="1" s="1"/>
  <c r="G15" i="7"/>
  <c r="E33" i="1" s="1"/>
  <c r="G16" i="7"/>
  <c r="E34" i="1" s="1"/>
  <c r="G17" i="7"/>
  <c r="E35" i="1" s="1"/>
  <c r="G18" i="7"/>
  <c r="E36" i="1" s="1"/>
  <c r="G19" i="7"/>
  <c r="E37" i="1" s="1"/>
  <c r="G20" i="7"/>
  <c r="E38" i="1" s="1"/>
  <c r="G21" i="7"/>
  <c r="E39" i="1" s="1"/>
  <c r="G22" i="7"/>
  <c r="E40" i="1" s="1"/>
  <c r="G9" i="7"/>
  <c r="E27" i="1" s="1"/>
  <c r="E8" i="7"/>
  <c r="F8" i="7"/>
  <c r="D8" i="7"/>
  <c r="G90" i="7"/>
  <c r="G89" i="7"/>
  <c r="D26" i="1" l="1"/>
  <c r="E92" i="7"/>
  <c r="E42" i="1"/>
  <c r="G42" i="1" s="1"/>
  <c r="G23" i="7"/>
  <c r="D92" i="7"/>
  <c r="G62" i="7"/>
  <c r="G83" i="7"/>
  <c r="E98" i="1"/>
  <c r="E78" i="1"/>
  <c r="G78" i="1" s="1"/>
  <c r="G36" i="7"/>
  <c r="G8" i="7"/>
  <c r="F92" i="7"/>
  <c r="E26" i="1" l="1"/>
  <c r="G92" i="7"/>
  <c r="E14" i="6"/>
  <c r="F12" i="6"/>
  <c r="F11" i="6"/>
  <c r="E5" i="1"/>
  <c r="G14" i="4"/>
  <c r="G15" i="4"/>
  <c r="E9" i="1" s="1"/>
  <c r="E11" i="1"/>
  <c r="G18" i="4"/>
  <c r="E12" i="1" s="1"/>
  <c r="G19" i="4"/>
  <c r="E13" i="1" s="1"/>
  <c r="G20" i="4"/>
  <c r="E14" i="1" s="1"/>
  <c r="G21" i="4"/>
  <c r="F12" i="3"/>
  <c r="E12" i="3"/>
  <c r="D12" i="3"/>
  <c r="D25" i="1" s="1"/>
  <c r="D24" i="1" s="1"/>
  <c r="H18" i="2"/>
  <c r="E19" i="1" s="1"/>
  <c r="I18" i="2"/>
  <c r="E20" i="1" s="1"/>
  <c r="J18" i="2"/>
  <c r="E21" i="1" s="1"/>
  <c r="F18" i="2"/>
  <c r="E17" i="1" s="1"/>
  <c r="G18" i="2"/>
  <c r="E18" i="1" s="1"/>
  <c r="K18" i="2"/>
  <c r="E22" i="1" s="1"/>
  <c r="L17" i="2"/>
  <c r="D18" i="2"/>
  <c r="E15" i="1" s="1"/>
  <c r="L16" i="2"/>
  <c r="L9" i="2"/>
  <c r="L8" i="2"/>
  <c r="E8" i="1" l="1"/>
  <c r="G22" i="4"/>
  <c r="E7" i="1" s="1"/>
  <c r="E10" i="1"/>
  <c r="G12" i="3"/>
  <c r="E25" i="1" s="1"/>
  <c r="L18" i="2"/>
  <c r="E4" i="1" l="1"/>
  <c r="E111" i="1"/>
  <c r="E105" i="1"/>
  <c r="E24" i="1"/>
  <c r="D111" i="1"/>
  <c r="D105" i="1"/>
  <c r="D120" i="1" s="1"/>
  <c r="E120" i="1" l="1"/>
  <c r="D103" i="1"/>
  <c r="D121" i="1" s="1"/>
  <c r="D119" i="1" s="1"/>
  <c r="C14" i="6" l="1"/>
  <c r="F14" i="6" s="1"/>
  <c r="E104" i="1" s="1"/>
  <c r="E103" i="1" s="1"/>
  <c r="E119" i="1" l="1"/>
</calcChain>
</file>

<file path=xl/sharedStrings.xml><?xml version="1.0" encoding="utf-8"?>
<sst xmlns="http://schemas.openxmlformats.org/spreadsheetml/2006/main" count="358" uniqueCount="230">
  <si>
    <t>ASET LANCAR</t>
  </si>
  <si>
    <t xml:space="preserve">Kas di Bendahara Desa </t>
  </si>
  <si>
    <t>Rekening Kas Desa</t>
  </si>
  <si>
    <t>Piutang Sewa Tanah</t>
  </si>
  <si>
    <t>Piutang Sewa Gedung</t>
  </si>
  <si>
    <t>Piutang Sewa Peralatan</t>
  </si>
  <si>
    <t>Piutang Bagi Hasil Pajak</t>
  </si>
  <si>
    <t>Piutang Bagi Hasil Retribusi</t>
  </si>
  <si>
    <t>Piutang Alokasi Dana Desa</t>
  </si>
  <si>
    <t>Piutang Panjar Kegiatan</t>
  </si>
  <si>
    <t xml:space="preserve">Piutang Lain-lain </t>
  </si>
  <si>
    <t>Persediaan Benda Pos dan Materai</t>
  </si>
  <si>
    <t>Persediaan Alat Tulis Kantor</t>
  </si>
  <si>
    <t>Persediaan Blangko dan Barang Cetakan</t>
  </si>
  <si>
    <t xml:space="preserve">Persediaan Alat-Alat Listrik/Lampu/Batterai </t>
  </si>
  <si>
    <t xml:space="preserve">Persediaan Bahan/Material </t>
  </si>
  <si>
    <t>Persediaan Alat-alat Kebersihan/Bahan Pembersih</t>
  </si>
  <si>
    <t>Persediaan Bibit Hewan/Tanaman</t>
  </si>
  <si>
    <t xml:space="preserve">Persediaan Barang Untuk Dihibahkan kepada Masyarakat </t>
  </si>
  <si>
    <t>INVESTASI</t>
  </si>
  <si>
    <t>Penyertaan Modal Pemerintah Desa</t>
  </si>
  <si>
    <t>ASET TETAP</t>
  </si>
  <si>
    <t>Tanah Kas Desa</t>
  </si>
  <si>
    <t>Tanah Perkampungan</t>
  </si>
  <si>
    <t>Tanah Pertanian</t>
  </si>
  <si>
    <t>Tanah Perkebunan</t>
  </si>
  <si>
    <t>Tanah Hutan</t>
  </si>
  <si>
    <t>Tanah Kebun Campuran</t>
  </si>
  <si>
    <t>Tanah Kolam Ikan</t>
  </si>
  <si>
    <t>Tanah Danau/Rawa</t>
  </si>
  <si>
    <t>Tanah Tandus/Rusak</t>
  </si>
  <si>
    <t>Tanah Alang-alang dan Padang Rumput</t>
  </si>
  <si>
    <t>Tanah Pertambangan</t>
  </si>
  <si>
    <t>Tanah untuk Banguna Gedung</t>
  </si>
  <si>
    <t>Tanah untuk Bangunan Bukan Gedung</t>
  </si>
  <si>
    <t>Tanah Penggunaan Lainnya</t>
  </si>
  <si>
    <t>Alat Studio, Komunikasi dan Pemencar</t>
  </si>
  <si>
    <t>Komputer</t>
  </si>
  <si>
    <t>Alat Kantor dan Rumah Tangga</t>
  </si>
  <si>
    <t>Alat Bengkel dan Alat Ukur</t>
  </si>
  <si>
    <t>Alat Kesehatan</t>
  </si>
  <si>
    <t>Alat Pertanian dan Perikanan</t>
  </si>
  <si>
    <t>Peralatan dan Mesin Lainnya</t>
  </si>
  <si>
    <t>Alat Besar</t>
  </si>
  <si>
    <t>Alat Angkutan</t>
  </si>
  <si>
    <t>Alat Pengeboran</t>
  </si>
  <si>
    <t>Peralatan Olah Raga</t>
  </si>
  <si>
    <t>Alat Produksi, Pengolahan dan Pemurnian</t>
  </si>
  <si>
    <t>Bangunan Gedung Kantor</t>
  </si>
  <si>
    <t>Bangunan Gudang</t>
  </si>
  <si>
    <t>Bangunan Gedung Bengkel</t>
  </si>
  <si>
    <t>Bangunan Gedung Instalasi</t>
  </si>
  <si>
    <t>Bangunan Gedung Laboratorium,</t>
  </si>
  <si>
    <t>Bangunan Kesehatan</t>
  </si>
  <si>
    <t>Bangunan Gedung Tempat Ibadah</t>
  </si>
  <si>
    <t>Bangunan Gedung Pertemuan</t>
  </si>
  <si>
    <t xml:space="preserve">Bangunan Gedung Tempat Pendidikan </t>
  </si>
  <si>
    <t>Bangunan  Gedung Tempat Olah Raga</t>
  </si>
  <si>
    <t>Bangunan Gedung Pertokoan/Koperasi/Pasar</t>
  </si>
  <si>
    <t>Bangunan Gedung Garasi/Pool</t>
  </si>
  <si>
    <t>Bangunan Gedung Pemotongan Hewan</t>
  </si>
  <si>
    <t>Bangunan Gedung Perpustakaan</t>
  </si>
  <si>
    <t>Bangunan Gedung Museum</t>
  </si>
  <si>
    <t>Bangunan Gedung Terminal/Pelabuhan</t>
  </si>
  <si>
    <t>Bangunan Gedung Terbuka</t>
  </si>
  <si>
    <t>Bangunan Gedung Penampungan Sekam</t>
  </si>
  <si>
    <t>Bangunan Gedung Tempat Pelelangan Ikan</t>
  </si>
  <si>
    <t>Bangunan Industri</t>
  </si>
  <si>
    <t>Bangunan Peternakan/Perikanan</t>
  </si>
  <si>
    <t>Bangunan Fasilitas Umum</t>
  </si>
  <si>
    <t>Bangunan Parkir</t>
  </si>
  <si>
    <t>Bangunan Taman</t>
  </si>
  <si>
    <t>Bangunan Gedung Tempat Kerja Lainnya</t>
  </si>
  <si>
    <t>Jalan</t>
  </si>
  <si>
    <t>Jembatan</t>
  </si>
  <si>
    <t>Bangunan Air Irigasi</t>
  </si>
  <si>
    <t>Bangunan Pengairan Pasang Surut</t>
  </si>
  <si>
    <t>Bangunan Pengembangan Rawa</t>
  </si>
  <si>
    <t>Bangunan Pengamanan Sungai dan Pantai</t>
  </si>
  <si>
    <t>Bangunan Pengembangan Sumber Air dan Air Tanah</t>
  </si>
  <si>
    <t>Bangunan Air Bersih dan Air Baku</t>
  </si>
  <si>
    <t>Bangunan Air Kotor</t>
  </si>
  <si>
    <t>Instalasi Air Bersih/Air Baku</t>
  </si>
  <si>
    <t>Instalasi Air Kotor</t>
  </si>
  <si>
    <t>Instalasi Pengolahan Sampah</t>
  </si>
  <si>
    <t>Instalasi Pengolahan Bahan Bangunan</t>
  </si>
  <si>
    <t>Instalasi Pembangkit Listrik</t>
  </si>
  <si>
    <t>Instalasi Gardu Listrik</t>
  </si>
  <si>
    <t>Instalasi Lainnya</t>
  </si>
  <si>
    <t>Jaringan Air Minum</t>
  </si>
  <si>
    <t>Jaringan Listrik</t>
  </si>
  <si>
    <t>Jaringan Telepon</t>
  </si>
  <si>
    <t>Jaringan Gas</t>
  </si>
  <si>
    <t>Bahan Perpustakaan</t>
  </si>
  <si>
    <t>Barang Becorak Seni, Kebudayaan dan Olahraga</t>
  </si>
  <si>
    <t>Tanaman</t>
  </si>
  <si>
    <t>Hewan dan Ternak</t>
  </si>
  <si>
    <t>Aset Tidak Berwujud</t>
  </si>
  <si>
    <t>DANA CADANGAN</t>
  </si>
  <si>
    <t>Dana Cadangan</t>
  </si>
  <si>
    <t>ASET TIDAK LANCAR LAINNYA</t>
  </si>
  <si>
    <t xml:space="preserve">Tagihan Piutang Penjualan Angsuran </t>
  </si>
  <si>
    <t>Tagihan Tuntutan Ganti Kerugian Daerah</t>
  </si>
  <si>
    <t xml:space="preserve">Kemitraan dengan Pihak Ketiga </t>
  </si>
  <si>
    <t xml:space="preserve">Aktiva Tidak Berwujud </t>
  </si>
  <si>
    <t xml:space="preserve">Aset Lain-lain </t>
  </si>
  <si>
    <t>KEWAJIBAN</t>
  </si>
  <si>
    <t>Kewajiban Jangka Pendek</t>
  </si>
  <si>
    <t xml:space="preserve">Hutang Perhitungan Pihak Ketiga </t>
  </si>
  <si>
    <t xml:space="preserve">Hutang Bunga </t>
  </si>
  <si>
    <t>Hutang Pajak</t>
  </si>
  <si>
    <t>Pendapatan Diterima Dimuka</t>
  </si>
  <si>
    <t>Bagian Lancar Hutang Jangka Panjang</t>
  </si>
  <si>
    <t>Hutang Jangka Pendek Lainnya</t>
  </si>
  <si>
    <t>EKUITAS</t>
  </si>
  <si>
    <t>Ekuitas</t>
  </si>
  <si>
    <t>Ekuitas SAL</t>
  </si>
  <si>
    <t>KERTAS KERJA LAPORAN KEKAYAAN MILIH DESA</t>
  </si>
  <si>
    <t>URAIAN</t>
  </si>
  <si>
    <t>PERSEDIAAN AKHIR</t>
  </si>
  <si>
    <t>Kode Desa</t>
  </si>
  <si>
    <t>Nama Desa</t>
  </si>
  <si>
    <t>Jumlah</t>
  </si>
  <si>
    <t xml:space="preserve"> Materai</t>
  </si>
  <si>
    <t xml:space="preserve"> Alat Tulis Kantor</t>
  </si>
  <si>
    <t>Blangko dan Barang Cetakan</t>
  </si>
  <si>
    <t xml:space="preserve"> Alat Listrik</t>
  </si>
  <si>
    <t xml:space="preserve"> Bahan / Peralatan Kebersihan</t>
  </si>
  <si>
    <t>JUMLAH</t>
  </si>
  <si>
    <t>DAFTAR INVESTASI</t>
  </si>
  <si>
    <t>No.</t>
  </si>
  <si>
    <t>Unit Pengelola / Nama Program</t>
  </si>
  <si>
    <t>Tahun Pengakuan</t>
  </si>
  <si>
    <t>Saldo Akhir</t>
  </si>
  <si>
    <t>6 = 3 + 4 -5</t>
  </si>
  <si>
    <t>NIP. 197107271998031005</t>
  </si>
  <si>
    <t xml:space="preserve">DAFTAR PIUTANG </t>
  </si>
  <si>
    <t>NO.</t>
  </si>
  <si>
    <t>Tahun Pengakuan Piutang Sesuai Perjanjian Sewa</t>
  </si>
  <si>
    <t>SALDO PIUTANG</t>
  </si>
  <si>
    <t>4=1+2-3</t>
  </si>
  <si>
    <t>CATATAN :</t>
  </si>
  <si>
    <t>1) Saldo Piutang 31 Desember 2019 disisi sesuai dengan piutang yang tersaji dalam LKMD 2019</t>
  </si>
  <si>
    <t>2) Penambahan disini merupakan pembentukan piutang baru di tahun 2020</t>
  </si>
  <si>
    <t>3) Pengurangan disini merupakan pelunasan piutang 2019 yang terbayarkan selama tahun 2020</t>
  </si>
  <si>
    <t>Pengeluaran</t>
  </si>
  <si>
    <t>Kenaikan/Penurunan Kas</t>
  </si>
  <si>
    <t xml:space="preserve">-  Pendapatan Asli Desa </t>
  </si>
  <si>
    <t>-  Alokasi Dana Desa</t>
  </si>
  <si>
    <t>-  Dana Desa</t>
  </si>
  <si>
    <t>-  Penerimaan Bagi Hasil Pajak Retribusi Daerah</t>
  </si>
  <si>
    <t>-  Penerimaan Bantuan Keuangan Kab/Kota</t>
  </si>
  <si>
    <t>-  Penerimaan Bantuan Keuangan Provinsi</t>
  </si>
  <si>
    <t>-  Pendapatan Lain-lain</t>
  </si>
  <si>
    <t>SISA LEBIH PEMBIAYAAN ANGGARAN</t>
  </si>
  <si>
    <t>Penerimaan Pembiayaan (diluar Silpa)</t>
  </si>
  <si>
    <t xml:space="preserve">Pengeluaran Pembiayaan </t>
  </si>
  <si>
    <t>Terdiri atas :</t>
  </si>
  <si>
    <t xml:space="preserve">          - Kas di Bendahara Desa </t>
  </si>
  <si>
    <t xml:space="preserve">          - Rekening Kas Desa</t>
  </si>
  <si>
    <t>DAFTAR DANA CADANGAN</t>
  </si>
  <si>
    <t>Saldo Awal</t>
  </si>
  <si>
    <t xml:space="preserve">Pembiayaan </t>
  </si>
  <si>
    <t>Penerimaan (yg di belanjakan sesuai program kegiatan)</t>
  </si>
  <si>
    <t>6= 3-4+5</t>
  </si>
  <si>
    <t>PENAMBAH DAN PENGURANG ASET TETAP</t>
  </si>
  <si>
    <t>NO</t>
  </si>
  <si>
    <t xml:space="preserve"> Penambahan </t>
  </si>
  <si>
    <t xml:space="preserve"> Pengurangan </t>
  </si>
  <si>
    <t>6=3+4-5</t>
  </si>
  <si>
    <t>Tanah</t>
  </si>
  <si>
    <t>Peralatan dan Mesin</t>
  </si>
  <si>
    <t>Gedung dan Bangunan</t>
  </si>
  <si>
    <t>Jalan,Irigasi dan Jaringan</t>
  </si>
  <si>
    <t>Aset Tetap Lainnya</t>
  </si>
  <si>
    <t>Konstruksi Dalam Pengerjaan</t>
  </si>
  <si>
    <t>Akumulasi Penyusutan</t>
  </si>
  <si>
    <t>DAFTAR HUTANG PAJAK</t>
  </si>
  <si>
    <t>Uraian</t>
  </si>
  <si>
    <t>Pajak PPN Pusat</t>
  </si>
  <si>
    <t>Pajak PPh Pasal 21</t>
  </si>
  <si>
    <t>Pajak PPh Pasal 22</t>
  </si>
  <si>
    <t>Pajak PPh Pasal 23</t>
  </si>
  <si>
    <t>Pajak PPh Lainnya</t>
  </si>
  <si>
    <t>Pengurangan Hutang Pajak (Pembayaran Hutang)</t>
  </si>
  <si>
    <t>1) Kolom 4 harap di kasih keterangan tanggal berapa pembayaran hutang pajaknya</t>
  </si>
  <si>
    <r>
      <t xml:space="preserve">      Silpa termasuk bunga bank dan biaya administrasi bank bulan </t>
    </r>
    <r>
      <rPr>
        <b/>
        <i/>
        <sz val="10"/>
        <color theme="1"/>
        <rFont val="Arial"/>
        <family val="2"/>
      </rPr>
      <t>Desember</t>
    </r>
  </si>
  <si>
    <t>Kepala Desa Klego</t>
  </si>
  <si>
    <t>PEMERINTAH DESA KLEGO</t>
  </si>
  <si>
    <t>Penyertaan Modal BUMDesa 2020</t>
  </si>
  <si>
    <t>Klego</t>
  </si>
  <si>
    <t>PERSEDIAAN</t>
  </si>
  <si>
    <t>Nama Barang</t>
  </si>
  <si>
    <t>Persediaan Lain-Lain</t>
  </si>
  <si>
    <t>Makan minum</t>
  </si>
  <si>
    <t>Persediaan Makan Minum</t>
  </si>
  <si>
    <t>Penyertaan  Modal BUMADesa 2019</t>
  </si>
  <si>
    <t>Bagi Hasil Pajak 2021</t>
  </si>
  <si>
    <t>Retribusi 2021</t>
  </si>
  <si>
    <t>Tahap I</t>
  </si>
  <si>
    <t>Tahap II</t>
  </si>
  <si>
    <t>Realisasi</t>
  </si>
  <si>
    <t>Pagu</t>
  </si>
  <si>
    <t>Selisih</t>
  </si>
  <si>
    <t>GUNTUR HERU SUPRAPTO</t>
  </si>
  <si>
    <t>Kertas HVS A4 70 gram</t>
  </si>
  <si>
    <t>Materai 10.000</t>
  </si>
  <si>
    <t>Kertas HVS F4 70 gram</t>
  </si>
  <si>
    <t>Tinta Printer Epson (Black)</t>
  </si>
  <si>
    <t>Tinta Printer Epson (Cyan)</t>
  </si>
  <si>
    <t>31 Des 2024</t>
  </si>
  <si>
    <t xml:space="preserve">Piutang Sewa Tanah </t>
  </si>
  <si>
    <t>Desa Klego, 31 Desember 2025</t>
  </si>
  <si>
    <t>Saldo Awal Kas (Saldo Akhir 2024)</t>
  </si>
  <si>
    <t>Penerimaan 2025</t>
  </si>
  <si>
    <t>Pengeluaran 2025</t>
  </si>
  <si>
    <t>Saldo Akhir Kas 2025</t>
  </si>
  <si>
    <t>Rincian Saldo Akhir Kas 2025 per Sumber Dana :</t>
  </si>
  <si>
    <t>PER 31 DESEMBER 2025</t>
  </si>
  <si>
    <t>PENAMBAHAN                         (Piutang 2025)</t>
  </si>
  <si>
    <t>PENGURANGAN                       (Piutang 2025)</t>
  </si>
  <si>
    <t>31 Des 2025</t>
  </si>
  <si>
    <t>Saldo Awal (sesuai Investasi s/d 2025)</t>
  </si>
  <si>
    <t>Penambahan 2025</t>
  </si>
  <si>
    <t>Pengurangan 2025</t>
  </si>
  <si>
    <t>Hutang Pajak 2024</t>
  </si>
  <si>
    <t>Pembentukan Hutang Pajak 2025</t>
  </si>
  <si>
    <t>SALDO AWAL 2025             (LKMD 2025)</t>
  </si>
  <si>
    <t>Tahun 2025</t>
  </si>
  <si>
    <t>SALDO AKHIR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</si>
</sst>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_-;\-* #,##0.00_-;_-* &quot;-&quot;_-;_-@_-"/>
    <numFmt numFmtId="167" formatCode="_(* #,##0.00_);_(* \(#,##0.00\);_(* &quot;-&quot;_);_(@_)"/>
    <numFmt numFmtId="168" formatCode="_(* #,##0_);_(* \(#,##0\);_(* &quot;-&quot;??_);_(@_)"/>
    <numFmt numFmtId="169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11"/>
      <color rgb="FF006100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Times New Roman"/>
      <family val="1"/>
    </font>
    <font>
      <sz val="8"/>
      <color theme="0" tint="-0.34998626667073579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1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>
      <alignment vertical="top"/>
    </xf>
    <xf numFmtId="41" fontId="9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9" fillId="0" borderId="0"/>
    <xf numFmtId="0" fontId="10" fillId="0" borderId="0"/>
    <xf numFmtId="41" fontId="10" fillId="0" borderId="0" applyFont="0" applyFill="0" applyBorder="0" applyAlignment="0" applyProtection="0"/>
    <xf numFmtId="0" fontId="9" fillId="0" borderId="0"/>
    <xf numFmtId="0" fontId="14" fillId="2" borderId="0" applyNumberFormat="0" applyBorder="0" applyAlignment="0" applyProtection="0"/>
  </cellStyleXfs>
  <cellXfs count="242">
    <xf numFmtId="0" fontId="0" fillId="0" borderId="0" xfId="0"/>
    <xf numFmtId="0" fontId="2" fillId="0" borderId="0" xfId="0" applyFont="1"/>
    <xf numFmtId="166" fontId="0" fillId="0" borderId="0" xfId="2" applyNumberFormat="1" applyFont="1"/>
    <xf numFmtId="0" fontId="3" fillId="0" borderId="0" xfId="0" applyFont="1"/>
    <xf numFmtId="164" fontId="0" fillId="0" borderId="0" xfId="2" applyNumberFormat="1" applyFont="1"/>
    <xf numFmtId="0" fontId="5" fillId="0" borderId="0" xfId="0" applyFont="1" applyFill="1"/>
    <xf numFmtId="3" fontId="5" fillId="0" borderId="0" xfId="0" applyNumberFormat="1" applyFont="1" applyFill="1"/>
    <xf numFmtId="43" fontId="5" fillId="0" borderId="0" xfId="0" applyNumberFormat="1" applyFont="1" applyFill="1"/>
    <xf numFmtId="0" fontId="11" fillId="0" borderId="0" xfId="0" applyFont="1" applyAlignment="1">
      <alignment horizontal="center"/>
    </xf>
    <xf numFmtId="0" fontId="4" fillId="0" borderId="0" xfId="8" applyFont="1" applyBorder="1"/>
    <xf numFmtId="0" fontId="4" fillId="0" borderId="0" xfId="8" applyFont="1"/>
    <xf numFmtId="0" fontId="5" fillId="0" borderId="0" xfId="0" applyFont="1"/>
    <xf numFmtId="0" fontId="6" fillId="0" borderId="0" xfId="8" applyFont="1" applyAlignment="1">
      <alignment horizontal="center"/>
    </xf>
    <xf numFmtId="0" fontId="6" fillId="0" borderId="0" xfId="8" applyFont="1" applyBorder="1" applyAlignment="1">
      <alignment horizontal="center"/>
    </xf>
    <xf numFmtId="0" fontId="6" fillId="0" borderId="0" xfId="8" applyFont="1"/>
    <xf numFmtId="0" fontId="4" fillId="0" borderId="0" xfId="8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164" fontId="12" fillId="0" borderId="0" xfId="2" applyFont="1"/>
    <xf numFmtId="0" fontId="12" fillId="0" borderId="0" xfId="0" applyFont="1"/>
    <xf numFmtId="0" fontId="5" fillId="0" borderId="0" xfId="10" applyFont="1"/>
    <xf numFmtId="0" fontId="13" fillId="0" borderId="21" xfId="10" applyFont="1" applyFill="1" applyBorder="1" applyAlignment="1">
      <alignment horizontal="center" vertical="center"/>
    </xf>
    <xf numFmtId="0" fontId="13" fillId="0" borderId="21" xfId="10" applyFont="1" applyFill="1" applyBorder="1" applyAlignment="1">
      <alignment horizontal="center" vertical="center" wrapText="1"/>
    </xf>
    <xf numFmtId="0" fontId="6" fillId="0" borderId="8" xfId="3" applyFont="1" applyFill="1" applyBorder="1" applyAlignment="1">
      <alignment vertical="center"/>
    </xf>
    <xf numFmtId="0" fontId="6" fillId="0" borderId="8" xfId="3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164" fontId="0" fillId="0" borderId="0" xfId="0" applyNumberFormat="1"/>
    <xf numFmtId="0" fontId="10" fillId="0" borderId="0" xfId="8" applyFont="1" applyBorder="1"/>
    <xf numFmtId="0" fontId="10" fillId="0" borderId="0" xfId="8" applyFont="1"/>
    <xf numFmtId="0" fontId="18" fillId="0" borderId="0" xfId="8" applyFont="1" applyAlignment="1">
      <alignment horizontal="center"/>
    </xf>
    <xf numFmtId="0" fontId="18" fillId="0" borderId="0" xfId="8" applyFont="1" applyBorder="1" applyAlignment="1">
      <alignment horizontal="center"/>
    </xf>
    <xf numFmtId="0" fontId="18" fillId="0" borderId="0" xfId="8" applyFont="1"/>
    <xf numFmtId="0" fontId="10" fillId="0" borderId="0" xfId="8" applyFont="1" applyAlignment="1"/>
    <xf numFmtId="0" fontId="16" fillId="0" borderId="0" xfId="0" applyFont="1" applyAlignment="1"/>
    <xf numFmtId="165" fontId="4" fillId="0" borderId="8" xfId="1" applyFont="1" applyFill="1" applyBorder="1" applyAlignment="1">
      <alignment horizontal="left" vertical="center" wrapText="1"/>
    </xf>
    <xf numFmtId="165" fontId="6" fillId="0" borderId="8" xfId="1" applyFont="1" applyFill="1" applyBorder="1" applyAlignment="1">
      <alignment horizontal="left" vertical="center"/>
    </xf>
    <xf numFmtId="165" fontId="4" fillId="0" borderId="4" xfId="1" applyFont="1" applyFill="1" applyBorder="1" applyAlignment="1">
      <alignment vertical="center"/>
    </xf>
    <xf numFmtId="165" fontId="0" fillId="0" borderId="0" xfId="0" applyNumberFormat="1"/>
    <xf numFmtId="3" fontId="19" fillId="0" borderId="0" xfId="0" applyNumberFormat="1" applyFont="1"/>
    <xf numFmtId="2" fontId="5" fillId="0" borderId="0" xfId="0" applyNumberFormat="1" applyFont="1"/>
    <xf numFmtId="165" fontId="12" fillId="0" borderId="0" xfId="0" applyNumberFormat="1" applyFont="1"/>
    <xf numFmtId="0" fontId="20" fillId="0" borderId="0" xfId="0" applyFont="1"/>
    <xf numFmtId="0" fontId="4" fillId="0" borderId="0" xfId="0" applyFont="1"/>
    <xf numFmtId="165" fontId="4" fillId="0" borderId="0" xfId="1" applyFont="1"/>
    <xf numFmtId="165" fontId="4" fillId="0" borderId="0" xfId="0" applyNumberFormat="1" applyFont="1"/>
    <xf numFmtId="164" fontId="21" fillId="0" borderId="0" xfId="2" applyFont="1"/>
    <xf numFmtId="0" fontId="21" fillId="0" borderId="0" xfId="0" applyFont="1"/>
    <xf numFmtId="0" fontId="4" fillId="0" borderId="1" xfId="11" applyFont="1" applyFill="1" applyBorder="1" applyAlignment="1">
      <alignment horizontal="center" vertical="center"/>
    </xf>
    <xf numFmtId="0" fontId="4" fillId="0" borderId="1" xfId="1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69" fontId="0" fillId="0" borderId="0" xfId="1" applyNumberFormat="1" applyFont="1" applyAlignment="1">
      <alignment vertical="center"/>
    </xf>
    <xf numFmtId="0" fontId="4" fillId="0" borderId="7" xfId="11" applyFont="1" applyFill="1" applyBorder="1" applyAlignment="1">
      <alignment horizontal="center" vertical="center"/>
    </xf>
    <xf numFmtId="0" fontId="4" fillId="0" borderId="7" xfId="11" applyFont="1" applyFill="1" applyBorder="1" applyAlignment="1">
      <alignment horizontal="left" vertical="center" wrapText="1"/>
    </xf>
    <xf numFmtId="0" fontId="11" fillId="0" borderId="0" xfId="0" applyFont="1"/>
    <xf numFmtId="0" fontId="22" fillId="0" borderId="0" xfId="0" applyFont="1" applyAlignment="1">
      <alignment horizontal="center" vertical="center"/>
    </xf>
    <xf numFmtId="165" fontId="23" fillId="0" borderId="0" xfId="0" applyNumberFormat="1" applyFont="1"/>
    <xf numFmtId="0" fontId="4" fillId="0" borderId="8" xfId="11" applyFont="1" applyFill="1" applyBorder="1" applyAlignment="1">
      <alignment horizontal="center" vertical="center"/>
    </xf>
    <xf numFmtId="0" fontId="4" fillId="0" borderId="8" xfId="11" applyFont="1" applyFill="1" applyBorder="1" applyAlignment="1">
      <alignment horizontal="left" vertical="center" wrapText="1"/>
    </xf>
    <xf numFmtId="0" fontId="13" fillId="0" borderId="8" xfId="10" applyFont="1" applyFill="1" applyBorder="1" applyAlignment="1">
      <alignment horizontal="center" vertical="center"/>
    </xf>
    <xf numFmtId="165" fontId="4" fillId="0" borderId="1" xfId="1" applyFont="1" applyFill="1" applyBorder="1" applyAlignment="1">
      <alignment vertical="center"/>
    </xf>
    <xf numFmtId="0" fontId="4" fillId="0" borderId="4" xfId="11" applyFont="1" applyFill="1" applyBorder="1" applyAlignment="1">
      <alignment horizontal="center" vertical="center"/>
    </xf>
    <xf numFmtId="0" fontId="4" fillId="0" borderId="4" xfId="11" applyFont="1" applyFill="1" applyBorder="1" applyAlignment="1">
      <alignment horizontal="left" vertical="center" wrapText="1"/>
    </xf>
    <xf numFmtId="165" fontId="4" fillId="0" borderId="7" xfId="1" applyFont="1" applyFill="1" applyBorder="1" applyAlignment="1">
      <alignment vertical="center"/>
    </xf>
    <xf numFmtId="0" fontId="4" fillId="0" borderId="14" xfId="11" applyFont="1" applyFill="1" applyBorder="1" applyAlignment="1">
      <alignment horizontal="center" vertical="center"/>
    </xf>
    <xf numFmtId="0" fontId="4" fillId="0" borderId="14" xfId="11" applyFont="1" applyFill="1" applyBorder="1" applyAlignment="1">
      <alignment horizontal="left" vertical="center" wrapText="1"/>
    </xf>
    <xf numFmtId="165" fontId="4" fillId="0" borderId="8" xfId="1" applyFont="1" applyFill="1" applyBorder="1" applyAlignment="1">
      <alignment vertical="center"/>
    </xf>
    <xf numFmtId="0" fontId="13" fillId="0" borderId="21" xfId="10" applyFont="1" applyFill="1" applyBorder="1" applyAlignment="1">
      <alignment horizontal="center" vertical="top"/>
    </xf>
    <xf numFmtId="0" fontId="0" fillId="0" borderId="0" xfId="0" applyBorder="1" applyAlignment="1">
      <alignment vertical="center"/>
    </xf>
    <xf numFmtId="0" fontId="16" fillId="0" borderId="0" xfId="0" applyFont="1" applyAlignment="1">
      <alignment vertical="center"/>
    </xf>
    <xf numFmtId="0" fontId="25" fillId="0" borderId="22" xfId="8" applyFont="1" applyBorder="1"/>
    <xf numFmtId="0" fontId="26" fillId="0" borderId="8" xfId="8" applyFont="1" applyBorder="1" applyAlignment="1">
      <alignment horizontal="center" vertical="center" wrapText="1"/>
    </xf>
    <xf numFmtId="0" fontId="26" fillId="0" borderId="8" xfId="8" applyFont="1" applyBorder="1" applyAlignment="1">
      <alignment horizontal="center" vertical="top" wrapText="1"/>
    </xf>
    <xf numFmtId="0" fontId="27" fillId="0" borderId="8" xfId="8" applyFont="1" applyBorder="1" applyAlignment="1">
      <alignment horizontal="center" vertical="top"/>
    </xf>
    <xf numFmtId="0" fontId="27" fillId="0" borderId="8" xfId="8" applyFont="1" applyFill="1" applyBorder="1" applyAlignment="1">
      <alignment vertical="top"/>
    </xf>
    <xf numFmtId="0" fontId="27" fillId="0" borderId="8" xfId="8" applyFont="1" applyFill="1" applyBorder="1" applyAlignment="1">
      <alignment horizontal="center" vertical="top"/>
    </xf>
    <xf numFmtId="167" fontId="27" fillId="0" borderId="8" xfId="9" applyNumberFormat="1" applyFont="1" applyFill="1" applyBorder="1" applyAlignment="1">
      <alignment horizontal="center" vertical="top"/>
    </xf>
    <xf numFmtId="43" fontId="27" fillId="0" borderId="8" xfId="9" applyNumberFormat="1" applyFont="1" applyFill="1" applyBorder="1" applyAlignment="1">
      <alignment horizontal="center" vertical="top"/>
    </xf>
    <xf numFmtId="167" fontId="27" fillId="0" borderId="8" xfId="9" applyNumberFormat="1" applyFont="1" applyFill="1" applyBorder="1" applyAlignment="1">
      <alignment horizontal="center" vertical="center"/>
    </xf>
    <xf numFmtId="0" fontId="26" fillId="0" borderId="8" xfId="8" applyFont="1" applyFill="1" applyBorder="1" applyAlignment="1">
      <alignment horizontal="right" vertical="top"/>
    </xf>
    <xf numFmtId="165" fontId="27" fillId="0" borderId="8" xfId="1" applyFont="1" applyFill="1" applyBorder="1" applyAlignment="1">
      <alignment horizontal="center" vertical="top"/>
    </xf>
    <xf numFmtId="165" fontId="26" fillId="0" borderId="8" xfId="1" applyFont="1" applyFill="1" applyBorder="1" applyAlignment="1">
      <alignment vertical="top"/>
    </xf>
    <xf numFmtId="167" fontId="26" fillId="0" borderId="8" xfId="9" applyNumberFormat="1" applyFont="1" applyFill="1" applyBorder="1" applyAlignment="1">
      <alignment vertical="top"/>
    </xf>
    <xf numFmtId="165" fontId="26" fillId="0" borderId="24" xfId="1" applyFont="1" applyBorder="1" applyAlignment="1">
      <alignment horizontal="center" vertical="center" wrapText="1"/>
    </xf>
    <xf numFmtId="165" fontId="26" fillId="0" borderId="8" xfId="1" applyFont="1" applyBorder="1" applyAlignment="1">
      <alignment vertical="top" wrapText="1"/>
    </xf>
    <xf numFmtId="0" fontId="28" fillId="0" borderId="0" xfId="0" applyFont="1"/>
    <xf numFmtId="0" fontId="30" fillId="0" borderId="0" xfId="0" applyFont="1" applyAlignment="1">
      <alignment horizontal="center"/>
    </xf>
    <xf numFmtId="0" fontId="31" fillId="0" borderId="21" xfId="3" applyFont="1" applyFill="1" applyBorder="1" applyAlignment="1">
      <alignment horizontal="center" vertical="center"/>
    </xf>
    <xf numFmtId="165" fontId="28" fillId="0" borderId="8" xfId="1" applyFont="1" applyFill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6" fillId="0" borderId="21" xfId="5" applyFont="1" applyFill="1" applyBorder="1" applyAlignment="1">
      <alignment horizontal="center" vertical="center" wrapText="1"/>
    </xf>
    <xf numFmtId="41" fontId="26" fillId="0" borderId="21" xfId="4" applyFont="1" applyFill="1" applyBorder="1" applyAlignment="1">
      <alignment horizontal="center" vertical="center" wrapText="1"/>
    </xf>
    <xf numFmtId="0" fontId="28" fillId="0" borderId="8" xfId="5" applyFont="1" applyFill="1" applyBorder="1" applyAlignment="1">
      <alignment horizontal="left" vertical="center"/>
    </xf>
    <xf numFmtId="0" fontId="28" fillId="0" borderId="8" xfId="6" applyFont="1" applyFill="1" applyBorder="1" applyAlignment="1">
      <alignment horizontal="left" vertical="center"/>
    </xf>
    <xf numFmtId="1" fontId="28" fillId="0" borderId="8" xfId="5" applyNumberFormat="1" applyFont="1" applyFill="1" applyBorder="1" applyAlignment="1">
      <alignment horizontal="left" vertical="center"/>
    </xf>
    <xf numFmtId="1" fontId="28" fillId="0" borderId="8" xfId="6" applyNumberFormat="1" applyFont="1" applyFill="1" applyBorder="1" applyAlignment="1">
      <alignment horizontal="left" vertical="center"/>
    </xf>
    <xf numFmtId="0" fontId="24" fillId="0" borderId="11" xfId="7" applyFont="1" applyFill="1" applyBorder="1" applyAlignment="1">
      <alignment horizontal="center" vertical="center"/>
    </xf>
    <xf numFmtId="165" fontId="31" fillId="0" borderId="8" xfId="1" applyFont="1" applyFill="1" applyBorder="1" applyAlignment="1">
      <alignment vertical="center"/>
    </xf>
    <xf numFmtId="0" fontId="27" fillId="0" borderId="8" xfId="8" quotePrefix="1" applyFont="1" applyFill="1" applyBorder="1" applyAlignment="1">
      <alignment vertical="top"/>
    </xf>
    <xf numFmtId="167" fontId="27" fillId="0" borderId="8" xfId="9" applyNumberFormat="1" applyFont="1" applyFill="1" applyBorder="1" applyAlignment="1">
      <alignment vertical="top"/>
    </xf>
    <xf numFmtId="0" fontId="27" fillId="0" borderId="8" xfId="8" quotePrefix="1" applyFont="1" applyFill="1" applyBorder="1" applyAlignment="1">
      <alignment horizontal="left" vertical="top"/>
    </xf>
    <xf numFmtId="167" fontId="26" fillId="0" borderId="8" xfId="9" applyNumberFormat="1" applyFont="1" applyBorder="1" applyAlignment="1">
      <alignment vertical="top" wrapText="1"/>
    </xf>
    <xf numFmtId="0" fontId="24" fillId="0" borderId="8" xfId="0" quotePrefix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8" xfId="0" quotePrefix="1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vertical="center"/>
    </xf>
    <xf numFmtId="43" fontId="25" fillId="0" borderId="8" xfId="1" applyNumberFormat="1" applyFont="1" applyFill="1" applyBorder="1" applyAlignment="1">
      <alignment vertical="center"/>
    </xf>
    <xf numFmtId="43" fontId="25" fillId="0" borderId="8" xfId="1" applyNumberFormat="1" applyFont="1" applyBorder="1" applyAlignment="1">
      <alignment vertical="center"/>
    </xf>
    <xf numFmtId="168" fontId="28" fillId="0" borderId="0" xfId="0" applyNumberFormat="1" applyFont="1" applyAlignment="1">
      <alignment vertical="center"/>
    </xf>
    <xf numFmtId="168" fontId="28" fillId="0" borderId="0" xfId="0" applyNumberFormat="1" applyFont="1" applyFill="1" applyAlignment="1">
      <alignment vertical="center"/>
    </xf>
    <xf numFmtId="164" fontId="28" fillId="0" borderId="0" xfId="2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horizontal="right" vertical="center"/>
    </xf>
    <xf numFmtId="165" fontId="28" fillId="0" borderId="8" xfId="1" applyFont="1" applyBorder="1" applyAlignment="1">
      <alignment vertical="center"/>
    </xf>
    <xf numFmtId="0" fontId="28" fillId="0" borderId="8" xfId="0" applyFont="1" applyBorder="1" applyAlignment="1">
      <alignment horizontal="left" vertical="center"/>
    </xf>
    <xf numFmtId="0" fontId="31" fillId="0" borderId="0" xfId="0" applyFont="1" applyAlignment="1">
      <alignment vertical="center"/>
    </xf>
    <xf numFmtId="164" fontId="28" fillId="0" borderId="0" xfId="2" applyNumberFormat="1" applyFont="1" applyAlignment="1">
      <alignment vertical="center"/>
    </xf>
    <xf numFmtId="0" fontId="31" fillId="0" borderId="11" xfId="2" quotePrefix="1" applyNumberFormat="1" applyFont="1" applyBorder="1" applyAlignment="1">
      <alignment horizontal="center" vertical="center"/>
    </xf>
    <xf numFmtId="0" fontId="31" fillId="0" borderId="9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165" fontId="31" fillId="0" borderId="8" xfId="1" applyFont="1" applyBorder="1" applyAlignment="1">
      <alignment vertical="center"/>
    </xf>
    <xf numFmtId="0" fontId="31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28" fillId="0" borderId="16" xfId="0" applyFont="1" applyBorder="1" applyAlignment="1">
      <alignment vertical="center" wrapText="1"/>
    </xf>
    <xf numFmtId="0" fontId="31" fillId="0" borderId="18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165" fontId="28" fillId="0" borderId="7" xfId="1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0" borderId="8" xfId="8" applyFont="1" applyBorder="1" applyAlignment="1">
      <alignment horizontal="center" vertical="center"/>
    </xf>
    <xf numFmtId="0" fontId="27" fillId="0" borderId="8" xfId="8" applyFont="1" applyFill="1" applyBorder="1" applyAlignment="1">
      <alignment vertical="center"/>
    </xf>
    <xf numFmtId="0" fontId="27" fillId="0" borderId="8" xfId="8" quotePrefix="1" applyFont="1" applyFill="1" applyBorder="1" applyAlignment="1">
      <alignment vertical="center"/>
    </xf>
    <xf numFmtId="0" fontId="27" fillId="0" borderId="8" xfId="8" quotePrefix="1" applyFont="1" applyFill="1" applyBorder="1" applyAlignment="1">
      <alignment horizontal="left" vertical="center"/>
    </xf>
    <xf numFmtId="167" fontId="26" fillId="0" borderId="8" xfId="9" applyNumberFormat="1" applyFont="1" applyBorder="1" applyAlignment="1">
      <alignment vertical="center" wrapText="1"/>
    </xf>
    <xf numFmtId="165" fontId="11" fillId="0" borderId="0" xfId="0" applyNumberFormat="1" applyFont="1"/>
    <xf numFmtId="165" fontId="2" fillId="0" borderId="0" xfId="0" applyNumberFormat="1" applyFont="1"/>
    <xf numFmtId="164" fontId="34" fillId="3" borderId="0" xfId="2" applyFont="1" applyFill="1" applyBorder="1"/>
    <xf numFmtId="43" fontId="4" fillId="0" borderId="0" xfId="0" applyNumberFormat="1" applyFont="1"/>
    <xf numFmtId="0" fontId="31" fillId="0" borderId="0" xfId="0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16" fillId="0" borderId="0" xfId="10" applyFont="1" applyFill="1" applyAlignment="1">
      <alignment horizontal="right"/>
    </xf>
    <xf numFmtId="0" fontId="31" fillId="0" borderId="0" xfId="10" applyFont="1" applyFill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9" xfId="7" applyFont="1" applyFill="1" applyBorder="1" applyAlignment="1">
      <alignment horizontal="center" vertical="center"/>
    </xf>
    <xf numFmtId="0" fontId="24" fillId="0" borderId="11" xfId="7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/>
    </xf>
    <xf numFmtId="0" fontId="24" fillId="0" borderId="0" xfId="0" applyFont="1" applyFill="1" applyBorder="1" applyAlignment="1">
      <alignment horizontal="center" vertical="center"/>
    </xf>
    <xf numFmtId="0" fontId="31" fillId="0" borderId="8" xfId="3" applyFont="1" applyFill="1" applyBorder="1" applyAlignment="1">
      <alignment horizontal="center" vertical="center" wrapText="1"/>
    </xf>
    <xf numFmtId="0" fontId="31" fillId="0" borderId="20" xfId="3" applyFont="1" applyFill="1" applyBorder="1" applyAlignment="1">
      <alignment horizontal="center" vertical="center"/>
    </xf>
    <xf numFmtId="0" fontId="31" fillId="0" borderId="21" xfId="3" applyFont="1" applyFill="1" applyBorder="1" applyAlignment="1">
      <alignment horizontal="center" vertical="center"/>
    </xf>
    <xf numFmtId="0" fontId="26" fillId="0" borderId="20" xfId="3" applyFont="1" applyFill="1" applyBorder="1" applyAlignment="1">
      <alignment horizontal="center" vertical="center"/>
    </xf>
    <xf numFmtId="0" fontId="26" fillId="0" borderId="21" xfId="3" applyFont="1" applyFill="1" applyBorder="1" applyAlignment="1">
      <alignment horizontal="center" vertical="center"/>
    </xf>
    <xf numFmtId="41" fontId="31" fillId="0" borderId="8" xfId="4" applyFont="1" applyFill="1" applyBorder="1" applyAlignment="1">
      <alignment horizontal="center" vertical="center"/>
    </xf>
    <xf numFmtId="0" fontId="27" fillId="0" borderId="0" xfId="3" applyFont="1" applyAlignment="1">
      <alignment horizontal="center" vertical="top"/>
    </xf>
    <xf numFmtId="0" fontId="25" fillId="0" borderId="0" xfId="3" applyFont="1" applyAlignment="1">
      <alignment horizontal="center" vertical="top"/>
    </xf>
    <xf numFmtId="0" fontId="24" fillId="0" borderId="0" xfId="8" applyFont="1" applyBorder="1" applyAlignment="1">
      <alignment horizontal="center"/>
    </xf>
    <xf numFmtId="0" fontId="26" fillId="0" borderId="23" xfId="8" applyFont="1" applyBorder="1" applyAlignment="1">
      <alignment horizontal="center" vertical="center" wrapText="1"/>
    </xf>
    <xf numFmtId="0" fontId="26" fillId="0" borderId="24" xfId="8" applyFont="1" applyBorder="1" applyAlignment="1">
      <alignment horizontal="center" vertical="center" wrapText="1"/>
    </xf>
    <xf numFmtId="0" fontId="29" fillId="0" borderId="0" xfId="8" applyFont="1" applyBorder="1" applyAlignment="1">
      <alignment horizontal="center" vertical="center"/>
    </xf>
    <xf numFmtId="0" fontId="26" fillId="0" borderId="20" xfId="8" applyFont="1" applyBorder="1" applyAlignment="1">
      <alignment horizontal="center" vertical="center" wrapText="1"/>
    </xf>
    <xf numFmtId="0" fontId="26" fillId="0" borderId="21" xfId="8" applyFont="1" applyBorder="1" applyAlignment="1">
      <alignment horizontal="center" vertical="center" wrapText="1"/>
    </xf>
    <xf numFmtId="0" fontId="26" fillId="0" borderId="9" xfId="8" applyFont="1" applyBorder="1" applyAlignment="1">
      <alignment horizontal="center" vertical="center" wrapText="1"/>
    </xf>
    <xf numFmtId="0" fontId="26" fillId="0" borderId="11" xfId="8" applyFont="1" applyBorder="1" applyAlignment="1">
      <alignment horizontal="center" vertical="center" wrapText="1"/>
    </xf>
    <xf numFmtId="0" fontId="24" fillId="0" borderId="0" xfId="8" applyFont="1" applyBorder="1" applyAlignment="1">
      <alignment horizontal="center" vertical="center"/>
    </xf>
    <xf numFmtId="0" fontId="7" fillId="0" borderId="0" xfId="3" applyAlignment="1">
      <alignment horizontal="center" vertical="top"/>
    </xf>
    <xf numFmtId="0" fontId="10" fillId="0" borderId="0" xfId="3" applyFont="1" applyAlignment="1">
      <alignment horizontal="center" vertical="top"/>
    </xf>
    <xf numFmtId="0" fontId="8" fillId="0" borderId="0" xfId="10" applyFont="1" applyAlignment="1">
      <alignment horizontal="center"/>
    </xf>
    <xf numFmtId="0" fontId="13" fillId="0" borderId="8" xfId="10" applyFont="1" applyFill="1" applyBorder="1" applyAlignment="1">
      <alignment horizontal="center" vertical="center"/>
    </xf>
    <xf numFmtId="0" fontId="13" fillId="0" borderId="8" xfId="10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165" fontId="28" fillId="3" borderId="14" xfId="1" applyFont="1" applyFill="1" applyBorder="1" applyAlignment="1">
      <alignment vertical="center"/>
    </xf>
    <xf numFmtId="165" fontId="28" fillId="3" borderId="4" xfId="1" applyFont="1" applyFill="1" applyBorder="1" applyAlignment="1">
      <alignment vertical="center"/>
    </xf>
    <xf numFmtId="165" fontId="25" fillId="3" borderId="4" xfId="1" applyFont="1" applyFill="1" applyBorder="1" applyAlignment="1">
      <alignment vertical="center"/>
    </xf>
    <xf numFmtId="165" fontId="32" fillId="3" borderId="17" xfId="1" applyFont="1" applyFill="1" applyBorder="1" applyAlignment="1">
      <alignment vertical="center"/>
    </xf>
    <xf numFmtId="165" fontId="25" fillId="3" borderId="17" xfId="1" applyFont="1" applyFill="1" applyBorder="1" applyAlignment="1">
      <alignment vertical="center"/>
    </xf>
    <xf numFmtId="165" fontId="28" fillId="3" borderId="19" xfId="1" applyFont="1" applyFill="1" applyBorder="1" applyAlignment="1">
      <alignment vertical="center"/>
    </xf>
    <xf numFmtId="165" fontId="28" fillId="3" borderId="21" xfId="1" applyFont="1" applyFill="1" applyBorder="1" applyAlignment="1">
      <alignment vertical="center"/>
    </xf>
    <xf numFmtId="165" fontId="28" fillId="3" borderId="17" xfId="1" applyFont="1" applyFill="1" applyBorder="1" applyAlignment="1">
      <alignment vertical="center"/>
    </xf>
    <xf numFmtId="165" fontId="31" fillId="3" borderId="8" xfId="1" applyFont="1" applyFill="1" applyBorder="1" applyAlignment="1">
      <alignment vertical="center"/>
    </xf>
    <xf numFmtId="165" fontId="4" fillId="3" borderId="1" xfId="1" applyFont="1" applyFill="1" applyBorder="1" applyAlignment="1">
      <alignment horizontal="left" vertical="center" wrapText="1"/>
    </xf>
    <xf numFmtId="165" fontId="4" fillId="3" borderId="4" xfId="1" applyFont="1" applyFill="1" applyBorder="1" applyAlignment="1">
      <alignment horizontal="left" vertical="center" wrapText="1"/>
    </xf>
    <xf numFmtId="165" fontId="4" fillId="3" borderId="7" xfId="1" applyFont="1" applyFill="1" applyBorder="1" applyAlignment="1">
      <alignment horizontal="left" vertical="center" wrapText="1"/>
    </xf>
    <xf numFmtId="165" fontId="4" fillId="3" borderId="8" xfId="1" applyFont="1" applyFill="1" applyBorder="1" applyAlignment="1">
      <alignment horizontal="left" vertical="center" wrapText="1"/>
    </xf>
    <xf numFmtId="165" fontId="4" fillId="3" borderId="14" xfId="1" applyFont="1" applyFill="1" applyBorder="1" applyAlignment="1">
      <alignment horizontal="left" vertical="center" wrapText="1"/>
    </xf>
    <xf numFmtId="167" fontId="27" fillId="3" borderId="8" xfId="9" applyNumberFormat="1" applyFont="1" applyFill="1" applyBorder="1" applyAlignment="1">
      <alignment horizontal="center" vertical="center"/>
    </xf>
    <xf numFmtId="43" fontId="27" fillId="3" borderId="8" xfId="9" applyNumberFormat="1" applyFont="1" applyFill="1" applyBorder="1" applyAlignment="1">
      <alignment horizontal="center" vertical="center"/>
    </xf>
    <xf numFmtId="167" fontId="27" fillId="3" borderId="8" xfId="9" applyNumberFormat="1" applyFont="1" applyFill="1" applyBorder="1" applyAlignment="1">
      <alignment vertical="center"/>
    </xf>
    <xf numFmtId="167" fontId="26" fillId="3" borderId="8" xfId="9" applyNumberFormat="1" applyFont="1" applyFill="1" applyBorder="1" applyAlignment="1">
      <alignment vertical="center"/>
    </xf>
    <xf numFmtId="0" fontId="27" fillId="3" borderId="8" xfId="8" applyFont="1" applyFill="1" applyBorder="1" applyAlignment="1">
      <alignment horizontal="center" vertical="top"/>
    </xf>
    <xf numFmtId="0" fontId="27" fillId="3" borderId="8" xfId="8" quotePrefix="1" applyFont="1" applyFill="1" applyBorder="1" applyAlignment="1">
      <alignment vertical="top"/>
    </xf>
    <xf numFmtId="167" fontId="27" fillId="3" borderId="8" xfId="9" applyNumberFormat="1" applyFont="1" applyFill="1" applyBorder="1" applyAlignment="1">
      <alignment horizontal="center" vertical="top"/>
    </xf>
    <xf numFmtId="43" fontId="27" fillId="3" borderId="8" xfId="9" applyNumberFormat="1" applyFont="1" applyFill="1" applyBorder="1" applyAlignment="1">
      <alignment horizontal="center" vertical="top"/>
    </xf>
    <xf numFmtId="0" fontId="27" fillId="3" borderId="8" xfId="8" applyFont="1" applyFill="1" applyBorder="1" applyAlignment="1">
      <alignment horizontal="center" vertical="center"/>
    </xf>
    <xf numFmtId="0" fontId="27" fillId="3" borderId="8" xfId="8" quotePrefix="1" applyFont="1" applyFill="1" applyBorder="1" applyAlignment="1">
      <alignment horizontal="left" vertical="center" wrapText="1"/>
    </xf>
    <xf numFmtId="0" fontId="27" fillId="3" borderId="8" xfId="1" quotePrefix="1" applyNumberFormat="1" applyFont="1" applyFill="1" applyBorder="1" applyAlignment="1">
      <alignment horizontal="center" vertical="center"/>
    </xf>
    <xf numFmtId="165" fontId="27" fillId="3" borderId="8" xfId="1" applyFont="1" applyFill="1" applyBorder="1" applyAlignment="1">
      <alignment vertical="center"/>
    </xf>
    <xf numFmtId="0" fontId="28" fillId="3" borderId="8" xfId="5" applyFont="1" applyFill="1" applyBorder="1" applyAlignment="1">
      <alignment horizontal="center" vertical="center"/>
    </xf>
    <xf numFmtId="0" fontId="28" fillId="3" borderId="8" xfId="6" applyFont="1" applyFill="1" applyBorder="1" applyAlignment="1">
      <alignment horizontal="center" vertical="center"/>
    </xf>
    <xf numFmtId="0" fontId="33" fillId="3" borderId="8" xfId="6" applyFont="1" applyFill="1" applyBorder="1" applyAlignment="1">
      <alignment horizontal="left" vertical="top" wrapText="1"/>
    </xf>
    <xf numFmtId="165" fontId="33" fillId="3" borderId="8" xfId="1" applyFont="1" applyFill="1" applyBorder="1"/>
    <xf numFmtId="165" fontId="28" fillId="3" borderId="8" xfId="1" applyFont="1" applyFill="1" applyBorder="1" applyAlignment="1">
      <alignment vertical="center"/>
    </xf>
    <xf numFmtId="0" fontId="28" fillId="3" borderId="8" xfId="5" applyFont="1" applyFill="1" applyBorder="1" applyAlignment="1">
      <alignment horizontal="left" vertical="center"/>
    </xf>
    <xf numFmtId="0" fontId="28" fillId="3" borderId="8" xfId="6" applyFont="1" applyFill="1" applyBorder="1" applyAlignment="1">
      <alignment horizontal="left" vertical="center"/>
    </xf>
    <xf numFmtId="1" fontId="33" fillId="3" borderId="8" xfId="6" applyNumberFormat="1" applyFont="1" applyFill="1" applyBorder="1" applyAlignment="1">
      <alignment horizontal="left" vertical="top" wrapText="1"/>
    </xf>
    <xf numFmtId="165" fontId="33" fillId="3" borderId="8" xfId="1" applyFont="1" applyFill="1" applyBorder="1" applyAlignment="1">
      <alignment vertical="center"/>
    </xf>
    <xf numFmtId="1" fontId="28" fillId="3" borderId="8" xfId="6" applyNumberFormat="1" applyFont="1" applyFill="1" applyBorder="1" applyAlignment="1">
      <alignment horizontal="left" vertical="center"/>
    </xf>
    <xf numFmtId="0" fontId="25" fillId="3" borderId="8" xfId="1" applyNumberFormat="1" applyFont="1" applyFill="1" applyBorder="1" applyAlignment="1">
      <alignment horizontal="center" vertical="center"/>
    </xf>
    <xf numFmtId="169" fontId="25" fillId="3" borderId="8" xfId="1" applyNumberFormat="1" applyFont="1" applyFill="1" applyBorder="1" applyAlignment="1">
      <alignment vertical="center"/>
    </xf>
    <xf numFmtId="43" fontId="25" fillId="3" borderId="8" xfId="1" applyNumberFormat="1" applyFont="1" applyFill="1" applyBorder="1" applyAlignment="1">
      <alignment vertical="center"/>
    </xf>
    <xf numFmtId="169" fontId="25" fillId="3" borderId="8" xfId="1" applyNumberFormat="1" applyFont="1" applyFill="1" applyBorder="1" applyAlignment="1">
      <alignment horizontal="center" vertical="center"/>
    </xf>
    <xf numFmtId="164" fontId="25" fillId="3" borderId="8" xfId="2" applyFont="1" applyFill="1" applyBorder="1" applyAlignment="1">
      <alignment horizontal="center" vertical="center"/>
    </xf>
    <xf numFmtId="165" fontId="25" fillId="3" borderId="8" xfId="1" applyNumberFormat="1" applyFont="1" applyFill="1" applyBorder="1" applyAlignment="1">
      <alignment vertical="center"/>
    </xf>
    <xf numFmtId="165" fontId="28" fillId="3" borderId="0" xfId="1" applyFont="1" applyFill="1" applyAlignment="1">
      <alignment vertical="center"/>
    </xf>
    <xf numFmtId="164" fontId="28" fillId="3" borderId="8" xfId="2" applyFont="1" applyFill="1" applyBorder="1" applyAlignment="1">
      <alignment vertical="center"/>
    </xf>
    <xf numFmtId="164" fontId="34" fillId="3" borderId="0" xfId="2" applyFont="1" applyFill="1"/>
    <xf numFmtId="164" fontId="34" fillId="3" borderId="8" xfId="2" applyFont="1" applyFill="1" applyBorder="1"/>
    <xf numFmtId="165" fontId="34" fillId="3" borderId="8" xfId="1" applyFont="1" applyFill="1" applyBorder="1" applyAlignment="1">
      <alignment horizontal="left" vertical="center"/>
    </xf>
  </cellXfs>
  <cellStyles count="12">
    <cellStyle name="Comma" xfId="1" builtinId="3"/>
    <cellStyle name="Comma [0]" xfId="2" builtinId="6"/>
    <cellStyle name="Comma [0] 2 20" xfId="4"/>
    <cellStyle name="Comma [0] 24" xfId="9"/>
    <cellStyle name="Good 2" xfId="11"/>
    <cellStyle name="Normal" xfId="0" builtinId="0"/>
    <cellStyle name="Normal 10_Piutang Pdt 2" xfId="10"/>
    <cellStyle name="Normal 2 2" xfId="3"/>
    <cellStyle name="Normal 2 21" xfId="7"/>
    <cellStyle name="Normal 3" xfId="5"/>
    <cellStyle name="Normal 37" xfId="8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3"/>
  <sheetViews>
    <sheetView tabSelected="1" view="pageBreakPreview" zoomScale="96" zoomScaleNormal="100" zoomScaleSheetLayoutView="96" workbookViewId="0">
      <selection activeCell="B7" sqref="B7"/>
    </sheetView>
  </sheetViews>
  <sheetFormatPr defaultRowHeight="14.25" x14ac:dyDescent="0.2"/>
  <cols>
    <col min="1" max="1" width="51" style="19" customWidth="1"/>
    <col min="2" max="2" width="26" style="18" customWidth="1"/>
    <col min="3" max="3" width="22.5703125" style="18" customWidth="1"/>
    <col min="4" max="4" width="9.140625" style="18"/>
    <col min="5" max="5" width="13" style="18" bestFit="1" customWidth="1"/>
    <col min="6" max="6" width="17.28515625" style="19" bestFit="1" customWidth="1"/>
    <col min="7" max="16384" width="9.140625" style="19"/>
  </cols>
  <sheetData>
    <row r="1" spans="1:6" x14ac:dyDescent="0.2">
      <c r="A1" s="155" t="s">
        <v>154</v>
      </c>
      <c r="B1" s="155"/>
      <c r="C1" s="155"/>
    </row>
    <row r="2" spans="1:6" ht="22.5" customHeight="1" x14ac:dyDescent="0.2">
      <c r="A2" s="110"/>
      <c r="B2" s="120"/>
      <c r="C2" s="120"/>
    </row>
    <row r="3" spans="1:6" x14ac:dyDescent="0.2">
      <c r="A3" s="121" t="s">
        <v>213</v>
      </c>
      <c r="B3" s="238"/>
      <c r="C3" s="239">
        <v>114396779</v>
      </c>
    </row>
    <row r="4" spans="1:6" x14ac:dyDescent="0.2">
      <c r="A4" s="121" t="s">
        <v>214</v>
      </c>
      <c r="B4" s="153">
        <f>2137969811</f>
        <v>2137969811</v>
      </c>
      <c r="C4" s="238"/>
    </row>
    <row r="5" spans="1:6" x14ac:dyDescent="0.2">
      <c r="A5" s="121" t="s">
        <v>215</v>
      </c>
      <c r="B5" s="153">
        <v>1902090327</v>
      </c>
      <c r="C5" s="238"/>
    </row>
    <row r="6" spans="1:6" x14ac:dyDescent="0.2">
      <c r="A6" s="122" t="s">
        <v>146</v>
      </c>
      <c r="B6" s="225"/>
      <c r="C6" s="225">
        <f>B4-B5</f>
        <v>235879484</v>
      </c>
    </row>
    <row r="7" spans="1:6" x14ac:dyDescent="0.2">
      <c r="A7" s="121" t="s">
        <v>155</v>
      </c>
      <c r="B7" s="225">
        <v>0</v>
      </c>
      <c r="C7" s="225"/>
    </row>
    <row r="8" spans="1:6" x14ac:dyDescent="0.2">
      <c r="A8" s="121" t="s">
        <v>156</v>
      </c>
      <c r="B8" s="225">
        <v>0</v>
      </c>
      <c r="C8" s="225"/>
    </row>
    <row r="9" spans="1:6" x14ac:dyDescent="0.2">
      <c r="A9" s="121"/>
      <c r="B9" s="225"/>
      <c r="C9" s="225">
        <f>B7-B8</f>
        <v>0</v>
      </c>
    </row>
    <row r="10" spans="1:6" x14ac:dyDescent="0.2">
      <c r="A10" s="121" t="s">
        <v>216</v>
      </c>
      <c r="B10" s="225"/>
      <c r="C10" s="225">
        <f>C3+C6+C9</f>
        <v>350276263</v>
      </c>
      <c r="E10" s="46"/>
      <c r="F10" s="47"/>
    </row>
    <row r="11" spans="1:6" x14ac:dyDescent="0.2">
      <c r="A11" s="121" t="s">
        <v>157</v>
      </c>
      <c r="B11" s="225"/>
      <c r="C11" s="225"/>
    </row>
    <row r="12" spans="1:6" x14ac:dyDescent="0.2">
      <c r="A12" s="121" t="s">
        <v>158</v>
      </c>
      <c r="B12" s="225">
        <v>0</v>
      </c>
      <c r="C12" s="225"/>
    </row>
    <row r="13" spans="1:6" x14ac:dyDescent="0.2">
      <c r="A13" s="121" t="s">
        <v>159</v>
      </c>
      <c r="B13" s="239">
        <v>350276263</v>
      </c>
      <c r="C13" s="225">
        <f>B12+B13</f>
        <v>350276263</v>
      </c>
    </row>
    <row r="14" spans="1:6" x14ac:dyDescent="0.2">
      <c r="A14" s="121"/>
      <c r="B14" s="225"/>
      <c r="C14" s="225"/>
    </row>
    <row r="15" spans="1:6" x14ac:dyDescent="0.2">
      <c r="A15" s="121" t="s">
        <v>217</v>
      </c>
      <c r="B15" s="225"/>
      <c r="C15" s="225"/>
    </row>
    <row r="16" spans="1:6" x14ac:dyDescent="0.2">
      <c r="A16" s="124" t="s">
        <v>147</v>
      </c>
      <c r="B16" s="240">
        <v>2717</v>
      </c>
      <c r="C16" s="225"/>
    </row>
    <row r="17" spans="1:6" x14ac:dyDescent="0.2">
      <c r="A17" s="124" t="s">
        <v>148</v>
      </c>
      <c r="B17" s="240">
        <v>98748346</v>
      </c>
      <c r="C17" s="225"/>
    </row>
    <row r="18" spans="1:6" x14ac:dyDescent="0.2">
      <c r="A18" s="124" t="s">
        <v>149</v>
      </c>
      <c r="B18" s="240">
        <v>227637500</v>
      </c>
      <c r="C18" s="225"/>
    </row>
    <row r="19" spans="1:6" x14ac:dyDescent="0.2">
      <c r="A19" s="124" t="s">
        <v>150</v>
      </c>
      <c r="B19" s="240">
        <v>17522083</v>
      </c>
      <c r="C19" s="225"/>
    </row>
    <row r="20" spans="1:6" x14ac:dyDescent="0.2">
      <c r="A20" s="124" t="s">
        <v>151</v>
      </c>
      <c r="B20" s="241">
        <v>5005000</v>
      </c>
      <c r="C20" s="225"/>
    </row>
    <row r="21" spans="1:6" x14ac:dyDescent="0.2">
      <c r="A21" s="124" t="s">
        <v>152</v>
      </c>
      <c r="B21" s="241">
        <v>210000</v>
      </c>
      <c r="C21" s="225"/>
    </row>
    <row r="22" spans="1:6" x14ac:dyDescent="0.2">
      <c r="A22" s="124" t="s">
        <v>153</v>
      </c>
      <c r="B22" s="240">
        <v>1150617</v>
      </c>
      <c r="C22" s="225"/>
    </row>
    <row r="23" spans="1:6" x14ac:dyDescent="0.2">
      <c r="A23" s="124"/>
      <c r="B23" s="123">
        <f>SUM(B16:B22)</f>
        <v>350276263</v>
      </c>
      <c r="C23" s="123">
        <f>C10-B23</f>
        <v>0</v>
      </c>
      <c r="F23" s="41"/>
    </row>
    <row r="24" spans="1:6" x14ac:dyDescent="0.2">
      <c r="A24" s="110"/>
      <c r="B24" s="120"/>
      <c r="C24" s="120"/>
    </row>
    <row r="25" spans="1:6" x14ac:dyDescent="0.2">
      <c r="A25" s="110"/>
      <c r="B25" s="120"/>
      <c r="C25" s="120"/>
    </row>
    <row r="26" spans="1:6" x14ac:dyDescent="0.2">
      <c r="A26" s="110"/>
      <c r="B26" s="156" t="s">
        <v>212</v>
      </c>
      <c r="C26" s="156"/>
    </row>
    <row r="27" spans="1:6" x14ac:dyDescent="0.2">
      <c r="A27" s="110"/>
      <c r="B27" s="157" t="s">
        <v>187</v>
      </c>
      <c r="C27" s="157"/>
    </row>
    <row r="28" spans="1:6" x14ac:dyDescent="0.2">
      <c r="A28" s="110"/>
      <c r="B28" s="120"/>
      <c r="C28" s="89"/>
    </row>
    <row r="29" spans="1:6" x14ac:dyDescent="0.2">
      <c r="A29" s="110"/>
      <c r="B29" s="120"/>
      <c r="C29" s="89"/>
    </row>
    <row r="30" spans="1:6" x14ac:dyDescent="0.2">
      <c r="A30" s="110"/>
      <c r="B30" s="120"/>
      <c r="C30" s="89"/>
    </row>
    <row r="31" spans="1:6" x14ac:dyDescent="0.2">
      <c r="A31" s="110"/>
      <c r="B31" s="157" t="s">
        <v>204</v>
      </c>
      <c r="C31" s="157"/>
    </row>
    <row r="32" spans="1:6" x14ac:dyDescent="0.2">
      <c r="A32" s="25" t="s">
        <v>141</v>
      </c>
    </row>
    <row r="33" spans="1:1" x14ac:dyDescent="0.2">
      <c r="A33" s="26" t="s">
        <v>186</v>
      </c>
    </row>
  </sheetData>
  <mergeCells count="4">
    <mergeCell ref="A1:C1"/>
    <mergeCell ref="B26:C26"/>
    <mergeCell ref="B27:C27"/>
    <mergeCell ref="B31:C31"/>
  </mergeCells>
  <printOptions horizontalCentered="1"/>
  <pageMargins left="0.78740157480314965" right="0.39370078740157483" top="0.39370078740157483" bottom="0.39370078740157483" header="0.31496062992125984" footer="0.31496062992125984"/>
  <pageSetup paperSize="256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33"/>
  <sheetViews>
    <sheetView view="pageBreakPreview" zoomScale="95" zoomScaleNormal="85" zoomScaleSheetLayoutView="95" workbookViewId="0">
      <selection activeCell="P9" sqref="P9"/>
    </sheetView>
  </sheetViews>
  <sheetFormatPr defaultRowHeight="11.25" x14ac:dyDescent="0.2"/>
  <cols>
    <col min="1" max="1" width="5.140625" style="17" customWidth="1"/>
    <col min="2" max="2" width="30.42578125" style="11" customWidth="1"/>
    <col min="3" max="3" width="18.85546875" style="11" customWidth="1"/>
    <col min="4" max="4" width="14.42578125" style="11" customWidth="1"/>
    <col min="5" max="5" width="17.42578125" style="11" customWidth="1"/>
    <col min="6" max="6" width="17.85546875" style="11" customWidth="1"/>
    <col min="7" max="7" width="18.5703125" style="5" customWidth="1"/>
    <col min="8" max="8" width="9.140625" style="11"/>
    <col min="9" max="9" width="16.7109375" style="11" hidden="1" customWidth="1"/>
    <col min="10" max="10" width="14.140625" style="11" hidden="1" customWidth="1"/>
    <col min="11" max="11" width="13.28515625" style="11" hidden="1" customWidth="1"/>
    <col min="12" max="13" width="12.28515625" style="11" hidden="1" customWidth="1"/>
    <col min="14" max="14" width="11.42578125" style="11" hidden="1" customWidth="1"/>
    <col min="15" max="15" width="12" style="11" bestFit="1" customWidth="1"/>
    <col min="16" max="16384" width="9.140625" style="11"/>
  </cols>
  <sheetData>
    <row r="1" spans="1:15" s="26" customFormat="1" ht="12.75" x14ac:dyDescent="0.2">
      <c r="A1" s="158"/>
      <c r="B1" s="158"/>
      <c r="C1" s="158"/>
      <c r="D1" s="158"/>
      <c r="E1" s="158"/>
      <c r="F1" s="158"/>
      <c r="G1" s="158"/>
    </row>
    <row r="2" spans="1:15" ht="12" x14ac:dyDescent="0.2">
      <c r="A2" s="159" t="s">
        <v>188</v>
      </c>
      <c r="B2" s="159"/>
      <c r="C2" s="159"/>
      <c r="D2" s="159"/>
      <c r="E2" s="159"/>
      <c r="F2" s="159"/>
      <c r="G2" s="159"/>
    </row>
    <row r="3" spans="1:15" ht="12" x14ac:dyDescent="0.2">
      <c r="A3" s="159" t="s">
        <v>136</v>
      </c>
      <c r="B3" s="159"/>
      <c r="C3" s="159"/>
      <c r="D3" s="159"/>
      <c r="E3" s="159"/>
      <c r="F3" s="159"/>
      <c r="G3" s="159"/>
    </row>
    <row r="4" spans="1:15" ht="12" x14ac:dyDescent="0.2">
      <c r="A4" s="159" t="s">
        <v>218</v>
      </c>
      <c r="B4" s="159"/>
      <c r="C4" s="159"/>
      <c r="D4" s="159"/>
      <c r="E4" s="159"/>
      <c r="F4" s="159"/>
      <c r="G4" s="159"/>
    </row>
    <row r="5" spans="1:15" ht="12" x14ac:dyDescent="0.2">
      <c r="A5" s="109"/>
      <c r="B5" s="110"/>
      <c r="C5" s="110"/>
      <c r="D5" s="110"/>
      <c r="E5" s="110"/>
      <c r="F5" s="110"/>
      <c r="G5" s="91"/>
    </row>
    <row r="6" spans="1:15" ht="12" x14ac:dyDescent="0.2">
      <c r="A6" s="160" t="s">
        <v>137</v>
      </c>
      <c r="B6" s="162" t="s">
        <v>118</v>
      </c>
      <c r="C6" s="164" t="s">
        <v>138</v>
      </c>
      <c r="D6" s="166" t="s">
        <v>139</v>
      </c>
      <c r="E6" s="166"/>
      <c r="F6" s="166"/>
      <c r="G6" s="166"/>
    </row>
    <row r="7" spans="1:15" ht="24" x14ac:dyDescent="0.2">
      <c r="A7" s="161"/>
      <c r="B7" s="163"/>
      <c r="C7" s="165"/>
      <c r="D7" s="104" t="s">
        <v>210</v>
      </c>
      <c r="E7" s="105" t="s">
        <v>219</v>
      </c>
      <c r="F7" s="105" t="s">
        <v>220</v>
      </c>
      <c r="G7" s="106" t="s">
        <v>221</v>
      </c>
    </row>
    <row r="8" spans="1:15" ht="12" x14ac:dyDescent="0.2">
      <c r="A8" s="107"/>
      <c r="B8" s="108"/>
      <c r="C8" s="108"/>
      <c r="D8" s="104">
        <v>1</v>
      </c>
      <c r="E8" s="111">
        <v>2</v>
      </c>
      <c r="F8" s="111">
        <v>3</v>
      </c>
      <c r="G8" s="112" t="s">
        <v>140</v>
      </c>
    </row>
    <row r="9" spans="1:15" ht="12" x14ac:dyDescent="0.2">
      <c r="A9" s="111"/>
      <c r="B9" s="113"/>
      <c r="C9" s="114"/>
      <c r="D9" s="115"/>
      <c r="E9" s="115"/>
      <c r="F9" s="115"/>
      <c r="G9" s="116"/>
    </row>
    <row r="10" spans="1:15" ht="12" x14ac:dyDescent="0.2">
      <c r="A10" s="114">
        <v>1</v>
      </c>
      <c r="B10" s="115" t="s">
        <v>3</v>
      </c>
      <c r="C10" s="231">
        <v>2022</v>
      </c>
      <c r="D10" s="232">
        <v>22480000</v>
      </c>
      <c r="E10" s="232">
        <v>0</v>
      </c>
      <c r="F10" s="232">
        <v>480000</v>
      </c>
      <c r="G10" s="233">
        <f>D10+E10-F10</f>
        <v>22000000</v>
      </c>
    </row>
    <row r="11" spans="1:15" ht="12" x14ac:dyDescent="0.2">
      <c r="A11" s="114">
        <v>2</v>
      </c>
      <c r="B11" s="115" t="s">
        <v>3</v>
      </c>
      <c r="C11" s="231">
        <v>2023</v>
      </c>
      <c r="D11" s="232">
        <v>27455000</v>
      </c>
      <c r="E11" s="232">
        <v>0</v>
      </c>
      <c r="F11" s="232">
        <v>5455000</v>
      </c>
      <c r="G11" s="233">
        <f>D11+E11-F11</f>
        <v>22000000</v>
      </c>
    </row>
    <row r="12" spans="1:15" ht="12" x14ac:dyDescent="0.2">
      <c r="A12" s="114">
        <v>3</v>
      </c>
      <c r="B12" s="115" t="s">
        <v>211</v>
      </c>
      <c r="C12" s="231">
        <v>2024</v>
      </c>
      <c r="D12" s="232">
        <v>14425000</v>
      </c>
      <c r="E12" s="232">
        <v>0</v>
      </c>
      <c r="F12" s="232">
        <v>5825000</v>
      </c>
      <c r="G12" s="233">
        <f>D12+E12-F12</f>
        <v>8600000</v>
      </c>
    </row>
    <row r="13" spans="1:15" ht="12" x14ac:dyDescent="0.2">
      <c r="A13" s="114">
        <v>4</v>
      </c>
      <c r="B13" s="115" t="s">
        <v>211</v>
      </c>
      <c r="C13" s="231">
        <v>2025</v>
      </c>
      <c r="D13" s="232">
        <v>0</v>
      </c>
      <c r="E13" s="232">
        <v>25350000</v>
      </c>
      <c r="F13" s="232">
        <v>0</v>
      </c>
      <c r="G13" s="233">
        <f>D13+E13-F13</f>
        <v>25350000</v>
      </c>
    </row>
    <row r="14" spans="1:15" ht="12" x14ac:dyDescent="0.2">
      <c r="A14" s="114">
        <v>5</v>
      </c>
      <c r="B14" s="115" t="s">
        <v>4</v>
      </c>
      <c r="C14" s="234">
        <v>0</v>
      </c>
      <c r="D14" s="232">
        <v>0</v>
      </c>
      <c r="E14" s="232">
        <v>0</v>
      </c>
      <c r="F14" s="232">
        <v>0</v>
      </c>
      <c r="G14" s="233">
        <f t="shared" ref="G14:G21" si="0">D14+E14-F14</f>
        <v>0</v>
      </c>
      <c r="I14" s="42"/>
      <c r="J14" s="42"/>
      <c r="K14" s="42"/>
      <c r="L14" s="42"/>
      <c r="M14" s="42"/>
      <c r="N14" s="42"/>
      <c r="O14" s="42"/>
    </row>
    <row r="15" spans="1:15" ht="12" x14ac:dyDescent="0.2">
      <c r="A15" s="114">
        <v>6</v>
      </c>
      <c r="B15" s="115" t="s">
        <v>5</v>
      </c>
      <c r="C15" s="234">
        <v>0</v>
      </c>
      <c r="D15" s="232">
        <v>0</v>
      </c>
      <c r="E15" s="232">
        <v>0</v>
      </c>
      <c r="F15" s="232">
        <v>0</v>
      </c>
      <c r="G15" s="233">
        <f t="shared" si="0"/>
        <v>0</v>
      </c>
      <c r="I15" s="43"/>
      <c r="J15" s="43"/>
      <c r="K15" s="43"/>
      <c r="L15" s="43"/>
      <c r="M15" s="43"/>
      <c r="N15" s="43"/>
      <c r="O15" s="43"/>
    </row>
    <row r="16" spans="1:15" ht="12" x14ac:dyDescent="0.2">
      <c r="A16" s="114">
        <v>7</v>
      </c>
      <c r="B16" s="115" t="s">
        <v>6</v>
      </c>
      <c r="C16" s="235">
        <v>0</v>
      </c>
      <c r="D16" s="236">
        <v>0</v>
      </c>
      <c r="E16" s="237">
        <v>0</v>
      </c>
      <c r="F16" s="236">
        <v>0</v>
      </c>
      <c r="G16" s="233">
        <f>D16+E16-F16</f>
        <v>0</v>
      </c>
      <c r="I16" s="43"/>
      <c r="J16" s="43"/>
      <c r="K16" s="43"/>
      <c r="L16" s="43"/>
      <c r="M16" s="43"/>
      <c r="N16" s="43"/>
      <c r="O16" s="43"/>
    </row>
    <row r="17" spans="1:15" ht="12" x14ac:dyDescent="0.2">
      <c r="A17" s="114">
        <v>8</v>
      </c>
      <c r="B17" s="115" t="s">
        <v>7</v>
      </c>
      <c r="C17" s="235">
        <v>0</v>
      </c>
      <c r="D17" s="236">
        <v>0</v>
      </c>
      <c r="E17" s="232">
        <v>0</v>
      </c>
      <c r="F17" s="236">
        <v>0</v>
      </c>
      <c r="G17" s="233">
        <f t="shared" si="0"/>
        <v>0</v>
      </c>
      <c r="I17" s="43"/>
      <c r="J17" s="43"/>
      <c r="K17" s="43"/>
      <c r="L17" s="43"/>
      <c r="M17" s="43"/>
      <c r="N17" s="43"/>
      <c r="O17" s="43"/>
    </row>
    <row r="18" spans="1:15" ht="12" x14ac:dyDescent="0.2">
      <c r="A18" s="114">
        <v>9</v>
      </c>
      <c r="B18" s="115" t="s">
        <v>8</v>
      </c>
      <c r="C18" s="234">
        <v>0</v>
      </c>
      <c r="D18" s="232">
        <v>0</v>
      </c>
      <c r="E18" s="232">
        <v>0</v>
      </c>
      <c r="F18" s="232">
        <v>0</v>
      </c>
      <c r="G18" s="233">
        <f t="shared" si="0"/>
        <v>0</v>
      </c>
      <c r="I18" s="43"/>
      <c r="J18" s="43" t="s">
        <v>199</v>
      </c>
      <c r="K18" s="43" t="s">
        <v>200</v>
      </c>
      <c r="L18" s="43" t="s">
        <v>201</v>
      </c>
      <c r="M18" s="44" t="s">
        <v>202</v>
      </c>
      <c r="N18" s="43" t="s">
        <v>203</v>
      </c>
      <c r="O18" s="43"/>
    </row>
    <row r="19" spans="1:15" ht="12" x14ac:dyDescent="0.2">
      <c r="A19" s="114">
        <v>10</v>
      </c>
      <c r="B19" s="115" t="s">
        <v>9</v>
      </c>
      <c r="C19" s="234">
        <v>0</v>
      </c>
      <c r="D19" s="232">
        <v>0</v>
      </c>
      <c r="E19" s="232">
        <v>0</v>
      </c>
      <c r="F19" s="232">
        <v>0</v>
      </c>
      <c r="G19" s="233">
        <f t="shared" si="0"/>
        <v>0</v>
      </c>
      <c r="I19" s="43" t="s">
        <v>197</v>
      </c>
      <c r="J19" s="44">
        <v>29394000</v>
      </c>
      <c r="K19" s="44">
        <v>10623000</v>
      </c>
      <c r="L19" s="45">
        <f>SUM(J19:K19)</f>
        <v>40017000</v>
      </c>
      <c r="M19" s="45">
        <v>40701149</v>
      </c>
      <c r="N19" s="45">
        <f>M19-L19</f>
        <v>684149</v>
      </c>
      <c r="O19" s="43"/>
    </row>
    <row r="20" spans="1:15" ht="12" x14ac:dyDescent="0.2">
      <c r="A20" s="114">
        <v>11</v>
      </c>
      <c r="B20" s="115" t="s">
        <v>10</v>
      </c>
      <c r="C20" s="234">
        <v>0</v>
      </c>
      <c r="D20" s="232">
        <v>0</v>
      </c>
      <c r="E20" s="232">
        <v>0</v>
      </c>
      <c r="F20" s="232">
        <v>0</v>
      </c>
      <c r="G20" s="233">
        <f t="shared" si="0"/>
        <v>0</v>
      </c>
      <c r="I20" s="43" t="s">
        <v>198</v>
      </c>
      <c r="J20" s="44">
        <v>3175000</v>
      </c>
      <c r="K20" s="44">
        <v>1568000</v>
      </c>
      <c r="L20" s="45">
        <f>SUM(J20:K20)</f>
        <v>4743000</v>
      </c>
      <c r="M20" s="45">
        <v>5321328</v>
      </c>
      <c r="N20" s="45">
        <f>M20-L20</f>
        <v>578328</v>
      </c>
      <c r="O20" s="43"/>
    </row>
    <row r="21" spans="1:15" ht="12" x14ac:dyDescent="0.2">
      <c r="A21" s="114"/>
      <c r="B21" s="115"/>
      <c r="C21" s="115"/>
      <c r="D21" s="116"/>
      <c r="E21" s="116"/>
      <c r="F21" s="116"/>
      <c r="G21" s="116">
        <f t="shared" si="0"/>
        <v>0</v>
      </c>
      <c r="I21" s="43" t="s">
        <v>122</v>
      </c>
      <c r="J21" s="45">
        <f>SUM(J19:J20)</f>
        <v>32569000</v>
      </c>
      <c r="K21" s="45">
        <f>SUM(K19:K20)</f>
        <v>12191000</v>
      </c>
      <c r="L21" s="45">
        <f>SUM(J21:K21)</f>
        <v>44760000</v>
      </c>
      <c r="M21" s="45">
        <f>SUM(M19:M20)</f>
        <v>46022477</v>
      </c>
      <c r="N21" s="45">
        <f>SUM(N19:N20)</f>
        <v>1262477</v>
      </c>
      <c r="O21" s="43"/>
    </row>
    <row r="22" spans="1:15" ht="12" x14ac:dyDescent="0.2">
      <c r="A22" s="114"/>
      <c r="B22" s="115"/>
      <c r="C22" s="115"/>
      <c r="D22" s="117">
        <f>SUM(D9:D21)</f>
        <v>64360000</v>
      </c>
      <c r="E22" s="117">
        <f>SUM(E9:E21)</f>
        <v>25350000</v>
      </c>
      <c r="F22" s="117">
        <f>SUM(F9:F21)</f>
        <v>11760000</v>
      </c>
      <c r="G22" s="116">
        <f>SUM(G10:G21)</f>
        <v>77950000</v>
      </c>
      <c r="I22" s="43"/>
      <c r="J22" s="43"/>
      <c r="K22" s="43"/>
      <c r="L22" s="43"/>
      <c r="M22" s="45"/>
      <c r="N22" s="43"/>
      <c r="O22" s="154">
        <f>G22-D22</f>
        <v>13590000</v>
      </c>
    </row>
    <row r="23" spans="1:15" ht="12" x14ac:dyDescent="0.2">
      <c r="A23" s="109"/>
      <c r="B23" s="110"/>
      <c r="C23" s="110"/>
      <c r="D23" s="118"/>
      <c r="E23" s="118"/>
      <c r="F23" s="118"/>
      <c r="G23" s="119"/>
      <c r="I23" s="43"/>
      <c r="J23" s="43"/>
      <c r="K23" s="43"/>
      <c r="L23" s="43"/>
      <c r="M23" s="43"/>
      <c r="N23" s="43"/>
      <c r="O23" s="43"/>
    </row>
    <row r="24" spans="1:15" ht="12" x14ac:dyDescent="0.2">
      <c r="A24" s="109"/>
      <c r="B24" s="110"/>
      <c r="C24" s="110"/>
      <c r="D24" s="118"/>
      <c r="E24" s="118"/>
      <c r="F24" s="156" t="str">
        <f>Silpa!B26</f>
        <v>Desa Klego, 31 Desember 2025</v>
      </c>
      <c r="G24" s="156"/>
      <c r="I24" s="43"/>
      <c r="J24" s="43"/>
      <c r="K24" s="43"/>
      <c r="L24" s="43"/>
      <c r="M24" s="43"/>
      <c r="N24" s="43"/>
      <c r="O24" s="43"/>
    </row>
    <row r="25" spans="1:15" ht="12" x14ac:dyDescent="0.2">
      <c r="A25" s="109"/>
      <c r="B25" s="110"/>
      <c r="C25" s="110"/>
      <c r="D25" s="110"/>
      <c r="E25" s="110"/>
      <c r="F25" s="157" t="s">
        <v>187</v>
      </c>
      <c r="G25" s="157"/>
      <c r="I25" s="43"/>
      <c r="J25" s="43"/>
      <c r="K25" s="43"/>
      <c r="L25" s="43"/>
      <c r="M25" s="43"/>
      <c r="N25" s="43"/>
      <c r="O25" s="43"/>
    </row>
    <row r="26" spans="1:15" ht="12" x14ac:dyDescent="0.2">
      <c r="A26" s="109"/>
      <c r="B26" s="110"/>
      <c r="C26" s="110"/>
      <c r="D26" s="110"/>
      <c r="E26" s="110"/>
      <c r="F26" s="89"/>
      <c r="G26" s="89"/>
    </row>
    <row r="27" spans="1:15" ht="12" x14ac:dyDescent="0.2">
      <c r="A27" s="109"/>
      <c r="B27" s="110"/>
      <c r="C27" s="110"/>
      <c r="D27" s="110"/>
      <c r="E27" s="110"/>
      <c r="F27" s="89"/>
      <c r="G27" s="89"/>
    </row>
    <row r="28" spans="1:15" ht="12" x14ac:dyDescent="0.2">
      <c r="A28" s="109"/>
      <c r="B28" s="110"/>
      <c r="C28" s="110"/>
      <c r="D28" s="110"/>
      <c r="E28" s="110"/>
      <c r="F28" s="89"/>
      <c r="G28" s="89"/>
    </row>
    <row r="29" spans="1:15" ht="12" x14ac:dyDescent="0.2">
      <c r="A29" s="109"/>
      <c r="B29" s="110"/>
      <c r="C29" s="110"/>
      <c r="D29" s="110"/>
      <c r="E29" s="110"/>
      <c r="F29" s="157" t="s">
        <v>204</v>
      </c>
      <c r="G29" s="157"/>
    </row>
    <row r="30" spans="1:15" ht="15.75" x14ac:dyDescent="0.25">
      <c r="A30" s="1" t="s">
        <v>141</v>
      </c>
      <c r="J30" s="39"/>
      <c r="K30" s="40"/>
    </row>
    <row r="31" spans="1:15" ht="15.75" x14ac:dyDescent="0.25">
      <c r="B31" s="11" t="s">
        <v>142</v>
      </c>
      <c r="J31" s="39"/>
      <c r="K31" s="40"/>
    </row>
    <row r="32" spans="1:15" x14ac:dyDescent="0.2">
      <c r="B32" s="11" t="s">
        <v>143</v>
      </c>
    </row>
    <row r="33" spans="2:2" x14ac:dyDescent="0.2">
      <c r="B33" s="11" t="s">
        <v>144</v>
      </c>
    </row>
  </sheetData>
  <mergeCells count="11">
    <mergeCell ref="F24:G24"/>
    <mergeCell ref="F25:G25"/>
    <mergeCell ref="F29:G29"/>
    <mergeCell ref="A1:G1"/>
    <mergeCell ref="A2:G2"/>
    <mergeCell ref="A3:G3"/>
    <mergeCell ref="A4:G4"/>
    <mergeCell ref="A6:A7"/>
    <mergeCell ref="B6:B7"/>
    <mergeCell ref="C6:C7"/>
    <mergeCell ref="D6:G6"/>
  </mergeCells>
  <printOptions horizontalCentered="1"/>
  <pageMargins left="0.59055118110236227" right="0.39370078740157483" top="0.39370078740157483" bottom="0.39370078740157483" header="0.31496062992125984" footer="0.31496062992125984"/>
  <pageSetup paperSize="256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O25"/>
  <sheetViews>
    <sheetView view="pageBreakPreview" zoomScale="91" zoomScaleNormal="100" zoomScaleSheetLayoutView="91" workbookViewId="0">
      <selection activeCell="F11" sqref="F11"/>
    </sheetView>
  </sheetViews>
  <sheetFormatPr defaultRowHeight="11.25" x14ac:dyDescent="0.2"/>
  <cols>
    <col min="1" max="2" width="12.7109375" style="5" customWidth="1"/>
    <col min="3" max="3" width="16" style="5" customWidth="1"/>
    <col min="4" max="4" width="12.42578125" style="5" bestFit="1" customWidth="1"/>
    <col min="5" max="5" width="13.140625" style="5" customWidth="1"/>
    <col min="6" max="10" width="11.7109375" style="5" customWidth="1"/>
    <col min="11" max="11" width="13" style="5" customWidth="1"/>
    <col min="12" max="12" width="15" style="5" customWidth="1"/>
    <col min="13" max="14" width="9.140625" style="5"/>
    <col min="15" max="15" width="16.85546875" style="5" bestFit="1" customWidth="1"/>
    <col min="16" max="16384" width="9.140625" style="5"/>
  </cols>
  <sheetData>
    <row r="1" spans="1:15" x14ac:dyDescent="0.2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5" ht="12" x14ac:dyDescent="0.2">
      <c r="A2" s="170" t="s">
        <v>188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5" ht="12" x14ac:dyDescent="0.2">
      <c r="A3" s="170" t="s">
        <v>119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</row>
    <row r="4" spans="1:15" ht="12" x14ac:dyDescent="0.2">
      <c r="A4" s="170" t="s">
        <v>218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</row>
    <row r="5" spans="1:15" ht="12" x14ac:dyDescent="0.2">
      <c r="A5" s="90"/>
      <c r="B5" s="90"/>
      <c r="C5" s="90"/>
      <c r="D5" s="90"/>
      <c r="E5" s="90"/>
      <c r="F5" s="90"/>
      <c r="G5" s="90"/>
      <c r="H5" s="90"/>
      <c r="I5" s="90"/>
      <c r="J5" s="90"/>
      <c r="K5" s="91"/>
      <c r="L5" s="91"/>
    </row>
    <row r="6" spans="1:15" ht="12" x14ac:dyDescent="0.2">
      <c r="A6" s="171" t="s">
        <v>120</v>
      </c>
      <c r="B6" s="172" t="s">
        <v>121</v>
      </c>
      <c r="C6" s="176" t="s">
        <v>191</v>
      </c>
      <c r="D6" s="176"/>
      <c r="E6" s="176"/>
      <c r="F6" s="176"/>
      <c r="G6" s="176"/>
      <c r="H6" s="176"/>
      <c r="I6" s="176"/>
      <c r="J6" s="176"/>
      <c r="K6" s="176"/>
      <c r="L6" s="174" t="s">
        <v>122</v>
      </c>
    </row>
    <row r="7" spans="1:15" ht="36" x14ac:dyDescent="0.2">
      <c r="A7" s="171"/>
      <c r="B7" s="173"/>
      <c r="C7" s="87" t="s">
        <v>192</v>
      </c>
      <c r="D7" s="92" t="s">
        <v>123</v>
      </c>
      <c r="E7" s="93" t="s">
        <v>124</v>
      </c>
      <c r="F7" s="93" t="s">
        <v>125</v>
      </c>
      <c r="G7" s="92" t="s">
        <v>126</v>
      </c>
      <c r="H7" s="92" t="s">
        <v>15</v>
      </c>
      <c r="I7" s="92" t="s">
        <v>127</v>
      </c>
      <c r="J7" s="92" t="s">
        <v>193</v>
      </c>
      <c r="K7" s="92" t="s">
        <v>194</v>
      </c>
      <c r="L7" s="175"/>
    </row>
    <row r="8" spans="1:15" ht="12" x14ac:dyDescent="0.2">
      <c r="A8" s="94"/>
      <c r="B8" s="95"/>
      <c r="C8" s="95"/>
      <c r="D8" s="88"/>
      <c r="E8" s="88"/>
      <c r="F8" s="88"/>
      <c r="G8" s="88"/>
      <c r="H8" s="88"/>
      <c r="I8" s="88"/>
      <c r="J8" s="88"/>
      <c r="K8" s="88"/>
      <c r="L8" s="88">
        <f>SUM(D8:K8)</f>
        <v>0</v>
      </c>
      <c r="N8" s="6"/>
      <c r="O8" s="7"/>
    </row>
    <row r="9" spans="1:15" ht="12" x14ac:dyDescent="0.2">
      <c r="A9" s="221">
        <v>2009</v>
      </c>
      <c r="B9" s="222" t="s">
        <v>190</v>
      </c>
      <c r="C9" s="223" t="s">
        <v>206</v>
      </c>
      <c r="D9" s="224">
        <f>6*10000</f>
        <v>60000</v>
      </c>
      <c r="E9" s="225"/>
      <c r="F9" s="225">
        <v>0</v>
      </c>
      <c r="G9" s="225">
        <v>0</v>
      </c>
      <c r="H9" s="225">
        <v>0</v>
      </c>
      <c r="I9" s="225">
        <v>0</v>
      </c>
      <c r="J9" s="225">
        <v>0</v>
      </c>
      <c r="K9" s="225"/>
      <c r="L9" s="88">
        <f>SUM(D9:K9)</f>
        <v>60000</v>
      </c>
      <c r="N9" s="6"/>
      <c r="O9" s="7"/>
    </row>
    <row r="10" spans="1:15" ht="24" x14ac:dyDescent="0.2">
      <c r="A10" s="226"/>
      <c r="B10" s="227"/>
      <c r="C10" s="228" t="s">
        <v>205</v>
      </c>
      <c r="D10" s="225"/>
      <c r="E10" s="229">
        <v>390000</v>
      </c>
      <c r="F10" s="225"/>
      <c r="G10" s="225"/>
      <c r="H10" s="225"/>
      <c r="I10" s="225"/>
      <c r="J10" s="225"/>
      <c r="K10" s="225"/>
      <c r="L10" s="88">
        <f t="shared" ref="L10:L15" si="0">SUM(D10:K10)</f>
        <v>390000</v>
      </c>
      <c r="N10" s="6"/>
      <c r="O10" s="7"/>
    </row>
    <row r="11" spans="1:15" ht="24" x14ac:dyDescent="0.2">
      <c r="A11" s="226"/>
      <c r="B11" s="227"/>
      <c r="C11" s="228" t="s">
        <v>207</v>
      </c>
      <c r="D11" s="225"/>
      <c r="E11" s="229">
        <v>140000</v>
      </c>
      <c r="F11" s="225"/>
      <c r="G11" s="225"/>
      <c r="H11" s="225"/>
      <c r="I11" s="225"/>
      <c r="J11" s="225"/>
      <c r="K11" s="225"/>
      <c r="L11" s="88">
        <f t="shared" si="0"/>
        <v>140000</v>
      </c>
      <c r="N11" s="6"/>
      <c r="O11" s="7"/>
    </row>
    <row r="12" spans="1:15" ht="24" x14ac:dyDescent="0.2">
      <c r="A12" s="226"/>
      <c r="B12" s="227"/>
      <c r="C12" s="228" t="s">
        <v>208</v>
      </c>
      <c r="D12" s="225"/>
      <c r="E12" s="229">
        <v>250000</v>
      </c>
      <c r="F12" s="225"/>
      <c r="G12" s="225"/>
      <c r="H12" s="225"/>
      <c r="I12" s="225"/>
      <c r="J12" s="225"/>
      <c r="K12" s="225"/>
      <c r="L12" s="88">
        <f t="shared" si="0"/>
        <v>250000</v>
      </c>
      <c r="N12" s="6"/>
      <c r="O12" s="7"/>
    </row>
    <row r="13" spans="1:15" ht="24" x14ac:dyDescent="0.2">
      <c r="A13" s="226"/>
      <c r="B13" s="227"/>
      <c r="C13" s="228" t="s">
        <v>209</v>
      </c>
      <c r="D13" s="225"/>
      <c r="E13" s="229">
        <v>125000</v>
      </c>
      <c r="F13" s="225"/>
      <c r="G13" s="225"/>
      <c r="H13" s="225"/>
      <c r="I13" s="225"/>
      <c r="J13" s="225"/>
      <c r="K13" s="225"/>
      <c r="L13" s="88">
        <f t="shared" si="0"/>
        <v>125000</v>
      </c>
      <c r="N13" s="6"/>
      <c r="O13" s="7"/>
    </row>
    <row r="14" spans="1:15" ht="12" x14ac:dyDescent="0.2">
      <c r="A14" s="226"/>
      <c r="B14" s="227"/>
      <c r="C14" s="230"/>
      <c r="D14" s="225"/>
      <c r="E14" s="225"/>
      <c r="F14" s="225"/>
      <c r="G14" s="225"/>
      <c r="H14" s="225"/>
      <c r="I14" s="225"/>
      <c r="J14" s="225"/>
      <c r="K14" s="225"/>
      <c r="L14" s="88">
        <f t="shared" si="0"/>
        <v>0</v>
      </c>
      <c r="N14" s="6"/>
      <c r="O14" s="7"/>
    </row>
    <row r="15" spans="1:15" ht="12" x14ac:dyDescent="0.2">
      <c r="A15" s="226"/>
      <c r="B15" s="227"/>
      <c r="C15" s="230"/>
      <c r="D15" s="225"/>
      <c r="E15" s="225"/>
      <c r="F15" s="225"/>
      <c r="G15" s="225"/>
      <c r="H15" s="225"/>
      <c r="I15" s="225"/>
      <c r="J15" s="225"/>
      <c r="K15" s="225"/>
      <c r="L15" s="88">
        <f t="shared" si="0"/>
        <v>0</v>
      </c>
      <c r="N15" s="6"/>
      <c r="O15" s="7"/>
    </row>
    <row r="16" spans="1:15" ht="12" x14ac:dyDescent="0.2">
      <c r="A16" s="96"/>
      <c r="B16" s="97"/>
      <c r="C16" s="97"/>
      <c r="D16" s="88"/>
      <c r="E16" s="88"/>
      <c r="F16" s="88"/>
      <c r="G16" s="88"/>
      <c r="H16" s="88"/>
      <c r="I16" s="88"/>
      <c r="J16" s="88"/>
      <c r="K16" s="88"/>
      <c r="L16" s="88">
        <f>SUM(D16:K16)</f>
        <v>0</v>
      </c>
      <c r="O16" s="7"/>
    </row>
    <row r="17" spans="1:12" ht="12" x14ac:dyDescent="0.2">
      <c r="A17" s="94"/>
      <c r="B17" s="95"/>
      <c r="C17" s="95"/>
      <c r="D17" s="88"/>
      <c r="E17" s="88"/>
      <c r="F17" s="88"/>
      <c r="G17" s="88"/>
      <c r="H17" s="88"/>
      <c r="I17" s="88"/>
      <c r="J17" s="88"/>
      <c r="K17" s="88"/>
      <c r="L17" s="88">
        <f>SUM(D17:K17)</f>
        <v>0</v>
      </c>
    </row>
    <row r="18" spans="1:12" ht="15" customHeight="1" x14ac:dyDescent="0.2">
      <c r="A18" s="167" t="s">
        <v>128</v>
      </c>
      <c r="B18" s="168"/>
      <c r="C18" s="98"/>
      <c r="D18" s="99">
        <f t="shared" ref="D18:L18" si="1">SUM(D8:D16)</f>
        <v>60000</v>
      </c>
      <c r="E18" s="99">
        <f>SUM(E8:E16)</f>
        <v>905000</v>
      </c>
      <c r="F18" s="99">
        <f t="shared" si="1"/>
        <v>0</v>
      </c>
      <c r="G18" s="99">
        <f t="shared" si="1"/>
        <v>0</v>
      </c>
      <c r="H18" s="99">
        <f t="shared" si="1"/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965000</v>
      </c>
    </row>
    <row r="19" spans="1:12" ht="12" x14ac:dyDescent="0.2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</row>
    <row r="20" spans="1:12" ht="15" customHeight="1" x14ac:dyDescent="0.2">
      <c r="A20" s="91"/>
      <c r="B20" s="91"/>
      <c r="C20" s="91"/>
      <c r="D20" s="91"/>
      <c r="E20" s="91"/>
      <c r="F20" s="91"/>
      <c r="G20" s="91"/>
      <c r="H20" s="91"/>
      <c r="I20" s="91"/>
      <c r="J20" s="156" t="str">
        <f>Piutang!F24</f>
        <v>Desa Klego, 31 Desember 2025</v>
      </c>
      <c r="K20" s="156"/>
      <c r="L20" s="156"/>
    </row>
    <row r="21" spans="1:12" ht="15" customHeight="1" x14ac:dyDescent="0.2">
      <c r="A21" s="91"/>
      <c r="B21" s="91"/>
      <c r="C21" s="91"/>
      <c r="D21" s="91"/>
      <c r="E21" s="91"/>
      <c r="F21" s="91"/>
      <c r="G21" s="91"/>
      <c r="H21" s="91"/>
      <c r="I21" s="91"/>
      <c r="J21" s="157" t="s">
        <v>187</v>
      </c>
      <c r="K21" s="157"/>
      <c r="L21" s="157"/>
    </row>
    <row r="22" spans="1:12" ht="12" x14ac:dyDescent="0.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89"/>
      <c r="L22" s="91"/>
    </row>
    <row r="23" spans="1:12" ht="12" x14ac:dyDescent="0.2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89"/>
      <c r="L23" s="91"/>
    </row>
    <row r="24" spans="1:12" ht="12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89"/>
      <c r="L24" s="91"/>
    </row>
    <row r="25" spans="1:12" ht="15" customHeight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157" t="s">
        <v>204</v>
      </c>
      <c r="K25" s="157"/>
      <c r="L25" s="157"/>
    </row>
  </sheetData>
  <mergeCells count="12">
    <mergeCell ref="J20:L20"/>
    <mergeCell ref="J21:L21"/>
    <mergeCell ref="J25:L25"/>
    <mergeCell ref="A18:B18"/>
    <mergeCell ref="A1:L1"/>
    <mergeCell ref="A2:L2"/>
    <mergeCell ref="A3:L3"/>
    <mergeCell ref="A4:L4"/>
    <mergeCell ref="A6:A7"/>
    <mergeCell ref="B6:B7"/>
    <mergeCell ref="L6:L7"/>
    <mergeCell ref="C6:K6"/>
  </mergeCells>
  <printOptions horizontalCentered="1"/>
  <pageMargins left="0.39370078740157483" right="0.39370078740157483" top="0.98425196850393704" bottom="0.39370078740157483" header="0.31496062992125984" footer="0.31496062992125984"/>
  <pageSetup paperSize="2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view="pageBreakPreview" zoomScale="91" zoomScaleNormal="100" zoomScaleSheetLayoutView="91" workbookViewId="0">
      <selection activeCell="E15" sqref="E15"/>
    </sheetView>
  </sheetViews>
  <sheetFormatPr defaultRowHeight="11.25" x14ac:dyDescent="0.2"/>
  <cols>
    <col min="1" max="1" width="4.28515625" style="11" customWidth="1"/>
    <col min="2" max="2" width="29.140625" style="11" customWidth="1"/>
    <col min="3" max="3" width="17.5703125" style="11" customWidth="1"/>
    <col min="4" max="4" width="19.140625" style="11" customWidth="1"/>
    <col min="5" max="5" width="16.7109375" style="11" customWidth="1"/>
    <col min="6" max="6" width="16.28515625" style="11" customWidth="1"/>
    <col min="7" max="7" width="19.85546875" style="11" customWidth="1"/>
    <col min="8" max="16384" width="9.140625" style="11"/>
  </cols>
  <sheetData>
    <row r="1" spans="1:8" s="26" customFormat="1" ht="12.75" x14ac:dyDescent="0.2">
      <c r="A1" s="28"/>
      <c r="B1" s="28"/>
      <c r="C1" s="28"/>
      <c r="D1" s="28"/>
      <c r="E1" s="28"/>
      <c r="F1" s="28"/>
      <c r="G1" s="28"/>
      <c r="H1" s="29"/>
    </row>
    <row r="2" spans="1:8" s="26" customFormat="1" ht="12.75" x14ac:dyDescent="0.2">
      <c r="A2" s="179" t="s">
        <v>188</v>
      </c>
      <c r="B2" s="179"/>
      <c r="C2" s="179"/>
      <c r="D2" s="179"/>
      <c r="E2" s="179"/>
      <c r="F2" s="179"/>
      <c r="G2" s="179"/>
      <c r="H2" s="30"/>
    </row>
    <row r="3" spans="1:8" s="26" customFormat="1" ht="12.75" x14ac:dyDescent="0.2">
      <c r="A3" s="179" t="s">
        <v>129</v>
      </c>
      <c r="B3" s="179"/>
      <c r="C3" s="179"/>
      <c r="D3" s="179"/>
      <c r="E3" s="179"/>
      <c r="F3" s="179"/>
      <c r="G3" s="179"/>
      <c r="H3" s="29"/>
    </row>
    <row r="4" spans="1:8" s="26" customFormat="1" ht="12.75" x14ac:dyDescent="0.2">
      <c r="A4" s="179" t="s">
        <v>218</v>
      </c>
      <c r="B4" s="179"/>
      <c r="C4" s="179"/>
      <c r="D4" s="179"/>
      <c r="E4" s="179"/>
      <c r="F4" s="179"/>
      <c r="G4" s="179"/>
      <c r="H4" s="31"/>
    </row>
    <row r="5" spans="1:8" s="26" customFormat="1" ht="12.75" x14ac:dyDescent="0.2">
      <c r="A5" s="70"/>
      <c r="B5" s="70"/>
      <c r="C5" s="70"/>
      <c r="D5" s="70"/>
      <c r="E5" s="70"/>
      <c r="F5" s="70"/>
      <c r="G5" s="70"/>
      <c r="H5" s="29"/>
    </row>
    <row r="6" spans="1:8" s="26" customFormat="1" ht="24" x14ac:dyDescent="0.2">
      <c r="A6" s="71" t="s">
        <v>130</v>
      </c>
      <c r="B6" s="71" t="s">
        <v>131</v>
      </c>
      <c r="C6" s="71" t="s">
        <v>132</v>
      </c>
      <c r="D6" s="71" t="s">
        <v>222</v>
      </c>
      <c r="E6" s="71" t="s">
        <v>223</v>
      </c>
      <c r="F6" s="71" t="s">
        <v>224</v>
      </c>
      <c r="G6" s="71" t="s">
        <v>133</v>
      </c>
      <c r="H6" s="29"/>
    </row>
    <row r="7" spans="1:8" s="26" customFormat="1" ht="12.75" x14ac:dyDescent="0.2">
      <c r="A7" s="72">
        <v>1</v>
      </c>
      <c r="B7" s="72">
        <v>2</v>
      </c>
      <c r="C7" s="72"/>
      <c r="D7" s="72">
        <v>3</v>
      </c>
      <c r="E7" s="72">
        <v>4</v>
      </c>
      <c r="F7" s="72">
        <v>5</v>
      </c>
      <c r="G7" s="72" t="s">
        <v>134</v>
      </c>
      <c r="H7" s="32"/>
    </row>
    <row r="8" spans="1:8" s="34" customFormat="1" ht="12.75" x14ac:dyDescent="0.2">
      <c r="A8" s="73"/>
      <c r="B8" s="74"/>
      <c r="C8" s="75"/>
      <c r="D8" s="76"/>
      <c r="E8" s="76"/>
      <c r="F8" s="77"/>
      <c r="G8" s="76"/>
      <c r="H8" s="33"/>
    </row>
    <row r="9" spans="1:8" s="69" customFormat="1" ht="19.5" customHeight="1" x14ac:dyDescent="0.25">
      <c r="A9" s="217">
        <v>1</v>
      </c>
      <c r="B9" s="218" t="s">
        <v>196</v>
      </c>
      <c r="C9" s="219">
        <v>2019</v>
      </c>
      <c r="D9" s="220">
        <v>200000000</v>
      </c>
      <c r="E9" s="220"/>
      <c r="F9" s="220"/>
      <c r="G9" s="78">
        <f>D9+E9-F9</f>
        <v>200000000</v>
      </c>
    </row>
    <row r="10" spans="1:8" s="69" customFormat="1" ht="19.5" customHeight="1" x14ac:dyDescent="0.25">
      <c r="A10" s="217">
        <v>2</v>
      </c>
      <c r="B10" s="218" t="s">
        <v>189</v>
      </c>
      <c r="C10" s="219">
        <v>2020</v>
      </c>
      <c r="D10" s="220">
        <v>50000000</v>
      </c>
      <c r="E10" s="220">
        <v>0</v>
      </c>
      <c r="F10" s="220">
        <v>0</v>
      </c>
      <c r="G10" s="78">
        <f>D10+E10-F10</f>
        <v>50000000</v>
      </c>
    </row>
    <row r="11" spans="1:8" s="34" customFormat="1" ht="12.75" x14ac:dyDescent="0.2">
      <c r="A11" s="73"/>
      <c r="B11" s="79"/>
      <c r="C11" s="80"/>
      <c r="D11" s="81"/>
      <c r="E11" s="81"/>
      <c r="F11" s="81"/>
      <c r="G11" s="82"/>
    </row>
    <row r="12" spans="1:8" s="26" customFormat="1" ht="12.75" x14ac:dyDescent="0.2">
      <c r="A12" s="180" t="s">
        <v>122</v>
      </c>
      <c r="B12" s="181"/>
      <c r="C12" s="83"/>
      <c r="D12" s="84">
        <f>SUM(D8:D11)</f>
        <v>250000000</v>
      </c>
      <c r="E12" s="84">
        <f>SUM(E8:E11)</f>
        <v>0</v>
      </c>
      <c r="F12" s="84">
        <f>SUM(F8:F11)</f>
        <v>0</v>
      </c>
      <c r="G12" s="84">
        <f>D12+E12-F12</f>
        <v>250000000</v>
      </c>
    </row>
    <row r="13" spans="1:8" s="26" customFormat="1" ht="12.75" x14ac:dyDescent="0.2">
      <c r="A13" s="85"/>
      <c r="B13" s="85"/>
      <c r="C13" s="85"/>
      <c r="D13" s="85"/>
      <c r="E13" s="182" t="s">
        <v>135</v>
      </c>
      <c r="F13" s="182"/>
      <c r="G13" s="182"/>
    </row>
    <row r="14" spans="1:8" s="26" customFormat="1" ht="12.75" x14ac:dyDescent="0.2">
      <c r="A14" s="85"/>
      <c r="B14" s="85"/>
      <c r="C14" s="85"/>
      <c r="D14" s="85"/>
      <c r="E14" s="85"/>
      <c r="F14" s="85"/>
      <c r="G14" s="85"/>
    </row>
    <row r="15" spans="1:8" s="26" customFormat="1" ht="12.75" x14ac:dyDescent="0.2">
      <c r="A15" s="85"/>
      <c r="B15" s="85"/>
      <c r="C15" s="85"/>
      <c r="D15" s="85"/>
      <c r="E15" s="85"/>
      <c r="F15" s="177" t="str">
        <f>Persediaan!J20</f>
        <v>Desa Klego, 31 Desember 2025</v>
      </c>
      <c r="G15" s="177"/>
    </row>
    <row r="16" spans="1:8" s="26" customFormat="1" ht="12.75" x14ac:dyDescent="0.2">
      <c r="A16" s="85"/>
      <c r="B16" s="85"/>
      <c r="C16" s="85"/>
      <c r="D16" s="85"/>
      <c r="E16" s="85"/>
      <c r="F16" s="178" t="s">
        <v>187</v>
      </c>
      <c r="G16" s="178"/>
    </row>
    <row r="17" spans="1:7" s="26" customFormat="1" ht="12.75" x14ac:dyDescent="0.2">
      <c r="A17" s="85"/>
      <c r="B17" s="85"/>
      <c r="C17" s="85"/>
      <c r="D17" s="85"/>
      <c r="E17" s="85"/>
      <c r="F17" s="86"/>
      <c r="G17" s="85"/>
    </row>
    <row r="18" spans="1:7" s="26" customFormat="1" ht="12.75" x14ac:dyDescent="0.2">
      <c r="A18" s="85"/>
      <c r="B18" s="85"/>
      <c r="C18" s="85"/>
      <c r="D18" s="85"/>
      <c r="E18" s="85"/>
      <c r="F18" s="86"/>
      <c r="G18" s="85"/>
    </row>
    <row r="19" spans="1:7" s="26" customFormat="1" ht="12.75" x14ac:dyDescent="0.2">
      <c r="A19" s="85"/>
      <c r="B19" s="85"/>
      <c r="C19" s="85"/>
      <c r="D19" s="85"/>
      <c r="E19" s="85"/>
      <c r="F19" s="86"/>
      <c r="G19" s="85"/>
    </row>
    <row r="20" spans="1:7" s="26" customFormat="1" ht="12.75" x14ac:dyDescent="0.2">
      <c r="A20" s="85"/>
      <c r="B20" s="85"/>
      <c r="C20" s="85"/>
      <c r="D20" s="85"/>
      <c r="E20" s="85"/>
      <c r="F20" s="178" t="s">
        <v>204</v>
      </c>
      <c r="G20" s="178"/>
    </row>
  </sheetData>
  <mergeCells count="8">
    <mergeCell ref="F15:G15"/>
    <mergeCell ref="F16:G16"/>
    <mergeCell ref="F20:G20"/>
    <mergeCell ref="A2:G2"/>
    <mergeCell ref="A3:G3"/>
    <mergeCell ref="A4:G4"/>
    <mergeCell ref="A12:B12"/>
    <mergeCell ref="E13:G13"/>
  </mergeCells>
  <printOptions horizontalCentered="1"/>
  <pageMargins left="0.78740157480314965" right="0.39370078740157483" top="0.98425196850393704" bottom="0.39370078740157483" header="0.31496062992125984" footer="0.31496062992125984"/>
  <pageSetup paperSize="256"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view="pageBreakPreview" zoomScale="96" zoomScaleNormal="100" zoomScaleSheetLayoutView="96" workbookViewId="0">
      <selection activeCell="D12" sqref="D12"/>
    </sheetView>
  </sheetViews>
  <sheetFormatPr defaultRowHeight="11.25" x14ac:dyDescent="0.2"/>
  <cols>
    <col min="1" max="1" width="4.42578125" style="11" customWidth="1"/>
    <col min="2" max="2" width="29.5703125" style="11" customWidth="1"/>
    <col min="3" max="3" width="18" style="11" customWidth="1"/>
    <col min="4" max="4" width="24.42578125" style="11" customWidth="1"/>
    <col min="5" max="5" width="24.5703125" style="11" customWidth="1"/>
    <col min="6" max="6" width="20.5703125" style="11" customWidth="1"/>
    <col min="7" max="16384" width="9.140625" style="11"/>
  </cols>
  <sheetData>
    <row r="1" spans="1:7" s="26" customFormat="1" ht="12.75" x14ac:dyDescent="0.2">
      <c r="A1" s="28"/>
      <c r="B1" s="28"/>
      <c r="C1" s="28"/>
      <c r="D1" s="28"/>
      <c r="E1" s="28"/>
      <c r="F1" s="28"/>
      <c r="G1" s="29"/>
    </row>
    <row r="2" spans="1:7" s="26" customFormat="1" ht="12.75" x14ac:dyDescent="0.2">
      <c r="A2" s="179" t="s">
        <v>188</v>
      </c>
      <c r="B2" s="179"/>
      <c r="C2" s="179"/>
      <c r="D2" s="179"/>
      <c r="E2" s="179"/>
      <c r="F2" s="179"/>
      <c r="G2" s="30"/>
    </row>
    <row r="3" spans="1:7" s="26" customFormat="1" ht="12.75" x14ac:dyDescent="0.2">
      <c r="A3" s="179" t="s">
        <v>160</v>
      </c>
      <c r="B3" s="179"/>
      <c r="C3" s="179"/>
      <c r="D3" s="179"/>
      <c r="E3" s="179"/>
      <c r="F3" s="179"/>
      <c r="G3" s="29"/>
    </row>
    <row r="4" spans="1:7" s="26" customFormat="1" ht="12.75" x14ac:dyDescent="0.2">
      <c r="A4" s="179" t="s">
        <v>218</v>
      </c>
      <c r="B4" s="179"/>
      <c r="C4" s="179"/>
      <c r="D4" s="179"/>
      <c r="E4" s="179"/>
      <c r="F4" s="179"/>
      <c r="G4" s="31"/>
    </row>
    <row r="5" spans="1:7" s="26" customFormat="1" ht="12.75" x14ac:dyDescent="0.2">
      <c r="A5" s="70"/>
      <c r="B5" s="70"/>
      <c r="C5" s="70"/>
      <c r="D5" s="70"/>
      <c r="E5" s="70"/>
      <c r="F5" s="70"/>
      <c r="G5" s="29"/>
    </row>
    <row r="6" spans="1:7" s="26" customFormat="1" ht="12.75" x14ac:dyDescent="0.2">
      <c r="A6" s="183" t="s">
        <v>130</v>
      </c>
      <c r="B6" s="183" t="s">
        <v>131</v>
      </c>
      <c r="C6" s="183" t="s">
        <v>161</v>
      </c>
      <c r="D6" s="185" t="s">
        <v>162</v>
      </c>
      <c r="E6" s="186"/>
      <c r="F6" s="183" t="s">
        <v>133</v>
      </c>
      <c r="G6" s="29"/>
    </row>
    <row r="7" spans="1:7" s="26" customFormat="1" ht="36" x14ac:dyDescent="0.2">
      <c r="A7" s="184"/>
      <c r="B7" s="184"/>
      <c r="C7" s="184"/>
      <c r="D7" s="71" t="s">
        <v>163</v>
      </c>
      <c r="E7" s="71" t="s">
        <v>145</v>
      </c>
      <c r="F7" s="184"/>
      <c r="G7" s="29"/>
    </row>
    <row r="8" spans="1:7" s="26" customFormat="1" ht="12.75" x14ac:dyDescent="0.2">
      <c r="A8" s="72">
        <v>1</v>
      </c>
      <c r="B8" s="72">
        <v>2</v>
      </c>
      <c r="C8" s="72">
        <v>3</v>
      </c>
      <c r="D8" s="72">
        <v>4</v>
      </c>
      <c r="E8" s="72">
        <v>5</v>
      </c>
      <c r="F8" s="72" t="s">
        <v>164</v>
      </c>
      <c r="G8" s="32"/>
    </row>
    <row r="9" spans="1:7" s="34" customFormat="1" ht="12.75" x14ac:dyDescent="0.2">
      <c r="A9" s="73"/>
      <c r="B9" s="74"/>
      <c r="C9" s="76"/>
      <c r="D9" s="76"/>
      <c r="E9" s="77"/>
      <c r="F9" s="76"/>
      <c r="G9" s="33"/>
    </row>
    <row r="10" spans="1:7" s="34" customFormat="1" ht="12.75" x14ac:dyDescent="0.2">
      <c r="A10" s="213">
        <v>1</v>
      </c>
      <c r="B10" s="214" t="s">
        <v>99</v>
      </c>
      <c r="C10" s="215">
        <v>0</v>
      </c>
      <c r="D10" s="215">
        <v>0</v>
      </c>
      <c r="E10" s="216">
        <v>0</v>
      </c>
      <c r="F10" s="215">
        <f>C10-D10+E10</f>
        <v>0</v>
      </c>
      <c r="G10" s="33"/>
    </row>
    <row r="11" spans="1:7" s="34" customFormat="1" ht="12.75" x14ac:dyDescent="0.2">
      <c r="A11" s="73"/>
      <c r="B11" s="100"/>
      <c r="C11" s="101"/>
      <c r="D11" s="101"/>
      <c r="E11" s="101"/>
      <c r="F11" s="76">
        <f>C11-D11+E11</f>
        <v>0</v>
      </c>
    </row>
    <row r="12" spans="1:7" s="34" customFormat="1" ht="12.75" x14ac:dyDescent="0.2">
      <c r="A12" s="73"/>
      <c r="B12" s="102"/>
      <c r="C12" s="101"/>
      <c r="D12" s="101"/>
      <c r="E12" s="101"/>
      <c r="F12" s="76">
        <f>C12-D12+E12</f>
        <v>0</v>
      </c>
    </row>
    <row r="13" spans="1:7" s="34" customFormat="1" ht="12.75" x14ac:dyDescent="0.2">
      <c r="A13" s="73"/>
      <c r="B13" s="79"/>
      <c r="C13" s="82"/>
      <c r="D13" s="82"/>
      <c r="E13" s="82"/>
      <c r="F13" s="82"/>
    </row>
    <row r="14" spans="1:7" s="26" customFormat="1" ht="12.75" x14ac:dyDescent="0.2">
      <c r="A14" s="180" t="s">
        <v>122</v>
      </c>
      <c r="B14" s="181"/>
      <c r="C14" s="103">
        <f>SUM(C10:C13)</f>
        <v>0</v>
      </c>
      <c r="D14" s="103">
        <f>SUM(D10:D13)</f>
        <v>0</v>
      </c>
      <c r="E14" s="103">
        <f>SUM(E10:E13)</f>
        <v>0</v>
      </c>
      <c r="F14" s="103">
        <f>C14-D14+E14</f>
        <v>0</v>
      </c>
    </row>
    <row r="15" spans="1:7" s="26" customFormat="1" ht="12.75" x14ac:dyDescent="0.2">
      <c r="A15" s="85"/>
      <c r="B15" s="85"/>
      <c r="C15" s="85"/>
      <c r="D15" s="182"/>
      <c r="E15" s="182"/>
      <c r="F15" s="182"/>
    </row>
    <row r="16" spans="1:7" s="26" customFormat="1" ht="12.75" x14ac:dyDescent="0.2">
      <c r="A16" s="85"/>
      <c r="B16" s="85"/>
      <c r="C16" s="85"/>
      <c r="D16" s="85"/>
      <c r="E16" s="85"/>
      <c r="F16" s="85"/>
    </row>
    <row r="17" spans="1:6" s="26" customFormat="1" ht="12.75" x14ac:dyDescent="0.2">
      <c r="A17" s="85"/>
      <c r="B17" s="85"/>
      <c r="C17" s="85"/>
      <c r="D17" s="85"/>
      <c r="E17" s="156" t="str">
        <f>Investasi!F15</f>
        <v>Desa Klego, 31 Desember 2025</v>
      </c>
      <c r="F17" s="156"/>
    </row>
    <row r="18" spans="1:6" s="26" customFormat="1" ht="12.75" x14ac:dyDescent="0.2">
      <c r="A18" s="85"/>
      <c r="B18" s="85"/>
      <c r="C18" s="85"/>
      <c r="D18" s="85"/>
      <c r="E18" s="157" t="s">
        <v>187</v>
      </c>
      <c r="F18" s="157"/>
    </row>
    <row r="19" spans="1:6" s="26" customFormat="1" ht="12.75" x14ac:dyDescent="0.2">
      <c r="A19" s="85"/>
      <c r="B19" s="85"/>
      <c r="C19" s="85"/>
      <c r="D19" s="85"/>
      <c r="E19" s="110"/>
      <c r="F19" s="89"/>
    </row>
    <row r="20" spans="1:6" s="26" customFormat="1" ht="12.75" x14ac:dyDescent="0.2">
      <c r="A20" s="85"/>
      <c r="B20" s="85"/>
      <c r="C20" s="85"/>
      <c r="D20" s="85"/>
      <c r="E20" s="110"/>
      <c r="F20" s="89"/>
    </row>
    <row r="21" spans="1:6" s="26" customFormat="1" ht="12.75" x14ac:dyDescent="0.2">
      <c r="A21" s="85"/>
      <c r="B21" s="85"/>
      <c r="C21" s="85"/>
      <c r="D21" s="85"/>
      <c r="E21" s="110"/>
      <c r="F21" s="89"/>
    </row>
    <row r="22" spans="1:6" s="26" customFormat="1" ht="12.75" x14ac:dyDescent="0.2">
      <c r="A22" s="85"/>
      <c r="B22" s="85"/>
      <c r="C22" s="85"/>
      <c r="D22" s="85"/>
      <c r="E22" s="157" t="s">
        <v>204</v>
      </c>
      <c r="F22" s="157"/>
    </row>
  </sheetData>
  <mergeCells count="13">
    <mergeCell ref="A2:F2"/>
    <mergeCell ref="A3:F3"/>
    <mergeCell ref="A4:F4"/>
    <mergeCell ref="A6:A7"/>
    <mergeCell ref="B6:B7"/>
    <mergeCell ref="C6:C7"/>
    <mergeCell ref="D6:E6"/>
    <mergeCell ref="F6:F7"/>
    <mergeCell ref="E17:F17"/>
    <mergeCell ref="E18:F18"/>
    <mergeCell ref="E22:F22"/>
    <mergeCell ref="A14:B14"/>
    <mergeCell ref="D15:F15"/>
  </mergeCells>
  <printOptions horizontalCentered="1"/>
  <pageMargins left="0.39370078740157483" right="0.39370078740157483" top="0.98425196850393704" bottom="0.39370078740157483" header="0.31496062992125984" footer="0.31496062992125984"/>
  <pageSetup paperSize="256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view="pageBreakPreview" zoomScale="96" zoomScaleNormal="100" zoomScaleSheetLayoutView="96" workbookViewId="0">
      <selection activeCell="E17" sqref="E17:F17"/>
    </sheetView>
  </sheetViews>
  <sheetFormatPr defaultRowHeight="11.25" x14ac:dyDescent="0.2"/>
  <cols>
    <col min="1" max="1" width="4.28515625" style="11" customWidth="1"/>
    <col min="2" max="2" width="32.5703125" style="11" customWidth="1"/>
    <col min="3" max="3" width="17.28515625" style="11" customWidth="1"/>
    <col min="4" max="4" width="20.85546875" style="11" customWidth="1"/>
    <col min="5" max="5" width="19.85546875" style="11" customWidth="1"/>
    <col min="6" max="6" width="22.7109375" style="11" customWidth="1"/>
    <col min="7" max="16384" width="9.140625" style="11"/>
  </cols>
  <sheetData>
    <row r="1" spans="1:7" x14ac:dyDescent="0.2">
      <c r="A1" s="9"/>
      <c r="B1" s="9"/>
      <c r="C1" s="9"/>
      <c r="D1" s="9"/>
      <c r="E1" s="9"/>
      <c r="F1" s="9"/>
      <c r="G1" s="10"/>
    </row>
    <row r="2" spans="1:7" ht="12" x14ac:dyDescent="0.2">
      <c r="A2" s="187" t="s">
        <v>188</v>
      </c>
      <c r="B2" s="187"/>
      <c r="C2" s="187"/>
      <c r="D2" s="187"/>
      <c r="E2" s="187"/>
      <c r="F2" s="187"/>
      <c r="G2" s="12"/>
    </row>
    <row r="3" spans="1:7" ht="12" x14ac:dyDescent="0.2">
      <c r="A3" s="187" t="s">
        <v>177</v>
      </c>
      <c r="B3" s="187"/>
      <c r="C3" s="187"/>
      <c r="D3" s="187"/>
      <c r="E3" s="187"/>
      <c r="F3" s="187"/>
      <c r="G3" s="10"/>
    </row>
    <row r="4" spans="1:7" ht="12" x14ac:dyDescent="0.2">
      <c r="A4" s="187" t="s">
        <v>218</v>
      </c>
      <c r="B4" s="187"/>
      <c r="C4" s="187"/>
      <c r="D4" s="187"/>
      <c r="E4" s="187"/>
      <c r="F4" s="187"/>
      <c r="G4" s="13"/>
    </row>
    <row r="5" spans="1:7" ht="12" x14ac:dyDescent="0.2">
      <c r="A5" s="70"/>
      <c r="B5" s="70"/>
      <c r="C5" s="70"/>
      <c r="D5" s="70"/>
      <c r="E5" s="70"/>
      <c r="F5" s="70"/>
      <c r="G5" s="10"/>
    </row>
    <row r="6" spans="1:7" ht="12" x14ac:dyDescent="0.2">
      <c r="A6" s="183" t="s">
        <v>130</v>
      </c>
      <c r="B6" s="183" t="s">
        <v>178</v>
      </c>
      <c r="C6" s="183" t="s">
        <v>225</v>
      </c>
      <c r="D6" s="185" t="s">
        <v>110</v>
      </c>
      <c r="E6" s="186"/>
      <c r="F6" s="183" t="s">
        <v>133</v>
      </c>
      <c r="G6" s="10"/>
    </row>
    <row r="7" spans="1:7" ht="36" x14ac:dyDescent="0.2">
      <c r="A7" s="184"/>
      <c r="B7" s="184"/>
      <c r="C7" s="184"/>
      <c r="D7" s="71" t="s">
        <v>184</v>
      </c>
      <c r="E7" s="71" t="s">
        <v>226</v>
      </c>
      <c r="F7" s="184"/>
      <c r="G7" s="10"/>
    </row>
    <row r="8" spans="1:7" ht="12" x14ac:dyDescent="0.2">
      <c r="A8" s="72">
        <v>1</v>
      </c>
      <c r="B8" s="72">
        <v>2</v>
      </c>
      <c r="C8" s="72">
        <v>3</v>
      </c>
      <c r="D8" s="72">
        <v>4</v>
      </c>
      <c r="E8" s="72">
        <v>5</v>
      </c>
      <c r="F8" s="72" t="s">
        <v>164</v>
      </c>
      <c r="G8" s="14"/>
    </row>
    <row r="9" spans="1:7" s="16" customFormat="1" ht="12" x14ac:dyDescent="0.2">
      <c r="A9" s="146">
        <v>1</v>
      </c>
      <c r="B9" s="147" t="s">
        <v>179</v>
      </c>
      <c r="C9" s="209">
        <v>0</v>
      </c>
      <c r="D9" s="209">
        <v>0</v>
      </c>
      <c r="E9" s="210">
        <v>0</v>
      </c>
      <c r="F9" s="78">
        <f t="shared" ref="F9:F14" si="0">C9-D9+E9</f>
        <v>0</v>
      </c>
      <c r="G9" s="15"/>
    </row>
    <row r="10" spans="1:7" s="16" customFormat="1" ht="12" x14ac:dyDescent="0.2">
      <c r="A10" s="146">
        <v>2</v>
      </c>
      <c r="B10" s="148" t="s">
        <v>180</v>
      </c>
      <c r="C10" s="209">
        <v>0</v>
      </c>
      <c r="D10" s="209">
        <v>0</v>
      </c>
      <c r="E10" s="210">
        <v>0</v>
      </c>
      <c r="F10" s="78">
        <f t="shared" si="0"/>
        <v>0</v>
      </c>
      <c r="G10" s="15"/>
    </row>
    <row r="11" spans="1:7" s="16" customFormat="1" ht="12" x14ac:dyDescent="0.2">
      <c r="A11" s="146">
        <v>3</v>
      </c>
      <c r="B11" s="148" t="s">
        <v>181</v>
      </c>
      <c r="C11" s="211">
        <v>0</v>
      </c>
      <c r="D11" s="211">
        <v>0</v>
      </c>
      <c r="E11" s="211">
        <v>0</v>
      </c>
      <c r="F11" s="78">
        <f t="shared" si="0"/>
        <v>0</v>
      </c>
    </row>
    <row r="12" spans="1:7" s="16" customFormat="1" ht="12" x14ac:dyDescent="0.2">
      <c r="A12" s="146">
        <v>4</v>
      </c>
      <c r="B12" s="149" t="s">
        <v>182</v>
      </c>
      <c r="C12" s="211">
        <v>0</v>
      </c>
      <c r="D12" s="211">
        <v>0</v>
      </c>
      <c r="E12" s="211">
        <v>0</v>
      </c>
      <c r="F12" s="78">
        <f t="shared" si="0"/>
        <v>0</v>
      </c>
    </row>
    <row r="13" spans="1:7" s="16" customFormat="1" ht="12" x14ac:dyDescent="0.2">
      <c r="A13" s="146">
        <v>5</v>
      </c>
      <c r="B13" s="149" t="s">
        <v>183</v>
      </c>
      <c r="C13" s="212">
        <v>0</v>
      </c>
      <c r="D13" s="212">
        <v>0</v>
      </c>
      <c r="E13" s="212">
        <v>0</v>
      </c>
      <c r="F13" s="78">
        <f t="shared" si="0"/>
        <v>0</v>
      </c>
    </row>
    <row r="14" spans="1:7" ht="12" x14ac:dyDescent="0.2">
      <c r="A14" s="180" t="s">
        <v>122</v>
      </c>
      <c r="B14" s="181"/>
      <c r="C14" s="150">
        <f>SUM(C9:C13)</f>
        <v>0</v>
      </c>
      <c r="D14" s="150">
        <f>SUM(D9:D13)</f>
        <v>0</v>
      </c>
      <c r="E14" s="150">
        <f>SUM(E9:E13)</f>
        <v>0</v>
      </c>
      <c r="F14" s="150">
        <f t="shared" si="0"/>
        <v>0</v>
      </c>
    </row>
    <row r="15" spans="1:7" ht="12" x14ac:dyDescent="0.2">
      <c r="A15" s="85"/>
      <c r="B15" s="85"/>
      <c r="C15" s="85"/>
      <c r="D15" s="182"/>
      <c r="E15" s="182"/>
      <c r="F15" s="182"/>
    </row>
    <row r="16" spans="1:7" ht="12" x14ac:dyDescent="0.2">
      <c r="A16" s="85"/>
      <c r="B16" s="85"/>
      <c r="C16" s="85"/>
      <c r="D16" s="85"/>
      <c r="E16" s="85"/>
      <c r="F16" s="85"/>
    </row>
    <row r="17" spans="1:6" ht="12" x14ac:dyDescent="0.2">
      <c r="A17" s="85"/>
      <c r="B17" s="85"/>
      <c r="C17" s="85"/>
      <c r="D17" s="85"/>
      <c r="E17" s="156" t="str">
        <f>Aset!F94</f>
        <v>Desa Klego, 31 Desember 2025</v>
      </c>
      <c r="F17" s="156"/>
    </row>
    <row r="18" spans="1:6" ht="12" x14ac:dyDescent="0.2">
      <c r="A18" s="85"/>
      <c r="B18" s="85"/>
      <c r="C18" s="85"/>
      <c r="D18" s="85"/>
      <c r="E18" s="157" t="s">
        <v>187</v>
      </c>
      <c r="F18" s="157"/>
    </row>
    <row r="19" spans="1:6" ht="12" x14ac:dyDescent="0.2">
      <c r="A19" s="85"/>
      <c r="B19" s="85"/>
      <c r="C19" s="85"/>
      <c r="D19" s="85"/>
      <c r="E19" s="110"/>
      <c r="F19" s="89"/>
    </row>
    <row r="20" spans="1:6" ht="12" x14ac:dyDescent="0.2">
      <c r="A20" s="85"/>
      <c r="B20" s="85"/>
      <c r="C20" s="85"/>
      <c r="D20" s="85"/>
      <c r="E20" s="110"/>
      <c r="F20" s="89"/>
    </row>
    <row r="21" spans="1:6" ht="12" x14ac:dyDescent="0.2">
      <c r="A21" s="85"/>
      <c r="B21" s="85"/>
      <c r="C21" s="85"/>
      <c r="D21" s="85"/>
      <c r="E21" s="110"/>
      <c r="F21" s="89"/>
    </row>
    <row r="22" spans="1:6" ht="12" x14ac:dyDescent="0.2">
      <c r="A22" s="85"/>
      <c r="B22" s="85"/>
      <c r="C22" s="85"/>
      <c r="D22" s="85"/>
      <c r="E22" s="157" t="s">
        <v>204</v>
      </c>
      <c r="F22" s="157"/>
    </row>
    <row r="24" spans="1:6" ht="15" x14ac:dyDescent="0.25">
      <c r="A24" s="1" t="s">
        <v>141</v>
      </c>
    </row>
    <row r="25" spans="1:6" x14ac:dyDescent="0.2">
      <c r="A25" s="17"/>
      <c r="B25" s="11" t="s">
        <v>185</v>
      </c>
    </row>
  </sheetData>
  <mergeCells count="13">
    <mergeCell ref="E17:F17"/>
    <mergeCell ref="E18:F18"/>
    <mergeCell ref="E22:F22"/>
    <mergeCell ref="A2:F2"/>
    <mergeCell ref="A3:F3"/>
    <mergeCell ref="A4:F4"/>
    <mergeCell ref="A14:B14"/>
    <mergeCell ref="D15:F15"/>
    <mergeCell ref="F6:F7"/>
    <mergeCell ref="D6:E6"/>
    <mergeCell ref="C6:C7"/>
    <mergeCell ref="B6:B7"/>
    <mergeCell ref="A6:A7"/>
  </mergeCells>
  <printOptions horizontalCentered="1"/>
  <pageMargins left="0.78740157480314965" right="0.39370078740157483" top="0.39370078740157483" bottom="0.39370078740157483" header="0.31496062992125984" footer="0.31496062992125984"/>
  <pageSetup paperSize="256"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9"/>
  <sheetViews>
    <sheetView view="pageBreakPreview" zoomScaleNormal="100" zoomScaleSheetLayoutView="100" workbookViewId="0">
      <pane ySplit="6" topLeftCell="A52" activePane="bottomLeft" state="frozen"/>
      <selection pane="bottomLeft" activeCell="G87" sqref="G87"/>
    </sheetView>
  </sheetViews>
  <sheetFormatPr defaultRowHeight="15" x14ac:dyDescent="0.25"/>
  <cols>
    <col min="1" max="1" width="1.5703125" customWidth="1"/>
    <col min="2" max="2" width="3.140625" bestFit="1" customWidth="1"/>
    <col min="3" max="3" width="29.140625" customWidth="1"/>
    <col min="4" max="4" width="16.5703125" customWidth="1"/>
    <col min="5" max="5" width="14.7109375" customWidth="1"/>
    <col min="6" max="6" width="15.28515625" customWidth="1"/>
    <col min="7" max="7" width="18.7109375" bestFit="1" customWidth="1"/>
    <col min="8" max="8" width="1.28515625" customWidth="1"/>
    <col min="9" max="9" width="17.140625" customWidth="1"/>
  </cols>
  <sheetData>
    <row r="1" spans="2:9" x14ac:dyDescent="0.25">
      <c r="B1" s="190" t="s">
        <v>188</v>
      </c>
      <c r="C1" s="190"/>
      <c r="D1" s="190"/>
      <c r="E1" s="190"/>
      <c r="F1" s="190"/>
      <c r="G1" s="190"/>
    </row>
    <row r="2" spans="2:9" x14ac:dyDescent="0.25">
      <c r="B2" s="190" t="s">
        <v>165</v>
      </c>
      <c r="C2" s="190"/>
      <c r="D2" s="190"/>
      <c r="E2" s="190"/>
      <c r="F2" s="190"/>
      <c r="G2" s="190"/>
    </row>
    <row r="3" spans="2:9" x14ac:dyDescent="0.25">
      <c r="B3" s="190" t="s">
        <v>218</v>
      </c>
      <c r="C3" s="190"/>
      <c r="D3" s="190"/>
      <c r="E3" s="190"/>
      <c r="F3" s="190"/>
      <c r="G3" s="190"/>
    </row>
    <row r="4" spans="2:9" x14ac:dyDescent="0.25">
      <c r="B4" s="20"/>
      <c r="C4" s="20"/>
      <c r="D4" s="20"/>
      <c r="E4" s="20"/>
      <c r="F4" s="20"/>
      <c r="G4" s="20"/>
    </row>
    <row r="5" spans="2:9" s="50" customFormat="1" x14ac:dyDescent="0.25">
      <c r="B5" s="191" t="s">
        <v>166</v>
      </c>
      <c r="C5" s="192" t="s">
        <v>118</v>
      </c>
      <c r="D5" s="192" t="s">
        <v>227</v>
      </c>
      <c r="E5" s="191" t="s">
        <v>228</v>
      </c>
      <c r="F5" s="191"/>
      <c r="G5" s="192" t="s">
        <v>229</v>
      </c>
    </row>
    <row r="6" spans="2:9" s="68" customFormat="1" x14ac:dyDescent="0.25">
      <c r="B6" s="191"/>
      <c r="C6" s="192"/>
      <c r="D6" s="192"/>
      <c r="E6" s="59" t="s">
        <v>167</v>
      </c>
      <c r="F6" s="59" t="s">
        <v>168</v>
      </c>
      <c r="G6" s="192"/>
    </row>
    <row r="7" spans="2:9" x14ac:dyDescent="0.25">
      <c r="B7" s="21">
        <v>1</v>
      </c>
      <c r="C7" s="22">
        <v>2</v>
      </c>
      <c r="D7" s="22">
        <v>3</v>
      </c>
      <c r="E7" s="67">
        <v>4</v>
      </c>
      <c r="F7" s="67">
        <v>5</v>
      </c>
      <c r="G7" s="22" t="s">
        <v>169</v>
      </c>
    </row>
    <row r="8" spans="2:9" s="50" customFormat="1" ht="16.5" customHeight="1" x14ac:dyDescent="0.25">
      <c r="B8" s="57">
        <v>1</v>
      </c>
      <c r="C8" s="58" t="s">
        <v>170</v>
      </c>
      <c r="D8" s="35">
        <f>SUM(D9:D22)</f>
        <v>28670245600</v>
      </c>
      <c r="E8" s="35">
        <f>SUM(E9:E22)</f>
        <v>0</v>
      </c>
      <c r="F8" s="35">
        <f>SUM(F9:F22)</f>
        <v>0</v>
      </c>
      <c r="G8" s="35">
        <f>SUM(G9:G22)</f>
        <v>28670245600</v>
      </c>
    </row>
    <row r="9" spans="2:9" s="50" customFormat="1" ht="15" customHeight="1" x14ac:dyDescent="0.25">
      <c r="B9" s="48"/>
      <c r="C9" s="49" t="s">
        <v>22</v>
      </c>
      <c r="D9" s="204">
        <v>0</v>
      </c>
      <c r="E9" s="204">
        <v>0</v>
      </c>
      <c r="F9" s="204">
        <v>0</v>
      </c>
      <c r="G9" s="60">
        <f>D9+E9-F9</f>
        <v>0</v>
      </c>
    </row>
    <row r="10" spans="2:9" s="50" customFormat="1" ht="15" customHeight="1" x14ac:dyDescent="0.25">
      <c r="B10" s="61"/>
      <c r="C10" s="62" t="s">
        <v>23</v>
      </c>
      <c r="D10" s="205">
        <v>7703802600</v>
      </c>
      <c r="E10" s="205">
        <v>0</v>
      </c>
      <c r="F10" s="205">
        <v>0</v>
      </c>
      <c r="G10" s="37">
        <f t="shared" ref="G10:G73" si="0">D10+E10-F10</f>
        <v>7703802600</v>
      </c>
      <c r="I10" s="51"/>
    </row>
    <row r="11" spans="2:9" s="50" customFormat="1" ht="15" customHeight="1" x14ac:dyDescent="0.25">
      <c r="B11" s="61"/>
      <c r="C11" s="62" t="s">
        <v>24</v>
      </c>
      <c r="D11" s="205">
        <v>17576048000</v>
      </c>
      <c r="E11" s="205">
        <v>0</v>
      </c>
      <c r="F11" s="205">
        <v>0</v>
      </c>
      <c r="G11" s="37">
        <f t="shared" si="0"/>
        <v>17576048000</v>
      </c>
      <c r="I11" s="51"/>
    </row>
    <row r="12" spans="2:9" s="50" customFormat="1" ht="15" customHeight="1" x14ac:dyDescent="0.25">
      <c r="B12" s="61"/>
      <c r="C12" s="62" t="s">
        <v>25</v>
      </c>
      <c r="D12" s="205">
        <v>0</v>
      </c>
      <c r="E12" s="205">
        <v>0</v>
      </c>
      <c r="F12" s="205">
        <v>0</v>
      </c>
      <c r="G12" s="37">
        <f t="shared" si="0"/>
        <v>0</v>
      </c>
      <c r="I12" s="51"/>
    </row>
    <row r="13" spans="2:9" s="50" customFormat="1" ht="15" customHeight="1" x14ac:dyDescent="0.25">
      <c r="B13" s="61"/>
      <c r="C13" s="62" t="s">
        <v>26</v>
      </c>
      <c r="D13" s="205">
        <v>0</v>
      </c>
      <c r="E13" s="205">
        <v>0</v>
      </c>
      <c r="F13" s="205">
        <v>0</v>
      </c>
      <c r="G13" s="37">
        <f t="shared" si="0"/>
        <v>0</v>
      </c>
      <c r="I13" s="51"/>
    </row>
    <row r="14" spans="2:9" s="50" customFormat="1" ht="15" customHeight="1" x14ac:dyDescent="0.25">
      <c r="B14" s="61"/>
      <c r="C14" s="62" t="s">
        <v>27</v>
      </c>
      <c r="D14" s="205">
        <v>0</v>
      </c>
      <c r="E14" s="205">
        <v>0</v>
      </c>
      <c r="F14" s="205">
        <v>0</v>
      </c>
      <c r="G14" s="37">
        <f t="shared" si="0"/>
        <v>0</v>
      </c>
      <c r="I14" s="51"/>
    </row>
    <row r="15" spans="2:9" s="50" customFormat="1" ht="15" customHeight="1" x14ac:dyDescent="0.25">
      <c r="B15" s="61"/>
      <c r="C15" s="62" t="s">
        <v>28</v>
      </c>
      <c r="D15" s="205">
        <v>0</v>
      </c>
      <c r="E15" s="205">
        <v>0</v>
      </c>
      <c r="F15" s="205">
        <v>0</v>
      </c>
      <c r="G15" s="37">
        <f t="shared" si="0"/>
        <v>0</v>
      </c>
      <c r="I15" s="51"/>
    </row>
    <row r="16" spans="2:9" s="50" customFormat="1" ht="15" customHeight="1" x14ac:dyDescent="0.25">
      <c r="B16" s="61"/>
      <c r="C16" s="62" t="s">
        <v>29</v>
      </c>
      <c r="D16" s="205">
        <v>0</v>
      </c>
      <c r="E16" s="205">
        <v>0</v>
      </c>
      <c r="F16" s="205">
        <v>0</v>
      </c>
      <c r="G16" s="37">
        <f t="shared" si="0"/>
        <v>0</v>
      </c>
      <c r="I16" s="51"/>
    </row>
    <row r="17" spans="2:9" s="50" customFormat="1" ht="15" customHeight="1" x14ac:dyDescent="0.25">
      <c r="B17" s="61"/>
      <c r="C17" s="62" t="s">
        <v>30</v>
      </c>
      <c r="D17" s="205">
        <v>0</v>
      </c>
      <c r="E17" s="205">
        <v>0</v>
      </c>
      <c r="F17" s="205">
        <v>0</v>
      </c>
      <c r="G17" s="37">
        <f t="shared" si="0"/>
        <v>0</v>
      </c>
      <c r="I17" s="51"/>
    </row>
    <row r="18" spans="2:9" s="50" customFormat="1" ht="15" customHeight="1" x14ac:dyDescent="0.25">
      <c r="B18" s="61"/>
      <c r="C18" s="62" t="s">
        <v>31</v>
      </c>
      <c r="D18" s="205">
        <v>0</v>
      </c>
      <c r="E18" s="205">
        <v>0</v>
      </c>
      <c r="F18" s="205">
        <v>0</v>
      </c>
      <c r="G18" s="37">
        <f t="shared" si="0"/>
        <v>0</v>
      </c>
      <c r="I18" s="51"/>
    </row>
    <row r="19" spans="2:9" s="50" customFormat="1" ht="15" customHeight="1" x14ac:dyDescent="0.25">
      <c r="B19" s="61"/>
      <c r="C19" s="62" t="s">
        <v>32</v>
      </c>
      <c r="D19" s="205">
        <v>0</v>
      </c>
      <c r="E19" s="205">
        <v>0</v>
      </c>
      <c r="F19" s="205">
        <v>0</v>
      </c>
      <c r="G19" s="37">
        <f t="shared" si="0"/>
        <v>0</v>
      </c>
      <c r="I19" s="51"/>
    </row>
    <row r="20" spans="2:9" s="50" customFormat="1" ht="15" customHeight="1" x14ac:dyDescent="0.25">
      <c r="B20" s="61"/>
      <c r="C20" s="62" t="s">
        <v>33</v>
      </c>
      <c r="D20" s="205">
        <v>1556171000</v>
      </c>
      <c r="E20" s="205">
        <v>0</v>
      </c>
      <c r="F20" s="205">
        <v>0</v>
      </c>
      <c r="G20" s="37">
        <f t="shared" si="0"/>
        <v>1556171000</v>
      </c>
      <c r="I20" s="51"/>
    </row>
    <row r="21" spans="2:9" s="50" customFormat="1" ht="15" customHeight="1" x14ac:dyDescent="0.25">
      <c r="B21" s="61"/>
      <c r="C21" s="62" t="s">
        <v>34</v>
      </c>
      <c r="D21" s="205">
        <v>0</v>
      </c>
      <c r="E21" s="205">
        <v>0</v>
      </c>
      <c r="F21" s="205">
        <v>0</v>
      </c>
      <c r="G21" s="37">
        <f t="shared" si="0"/>
        <v>0</v>
      </c>
      <c r="I21" s="51"/>
    </row>
    <row r="22" spans="2:9" s="50" customFormat="1" ht="15" customHeight="1" x14ac:dyDescent="0.25">
      <c r="B22" s="52"/>
      <c r="C22" s="53" t="s">
        <v>35</v>
      </c>
      <c r="D22" s="206">
        <v>1834224000</v>
      </c>
      <c r="E22" s="206">
        <v>0</v>
      </c>
      <c r="F22" s="206">
        <v>0</v>
      </c>
      <c r="G22" s="63">
        <f t="shared" si="0"/>
        <v>1834224000</v>
      </c>
      <c r="I22" s="51"/>
    </row>
    <row r="23" spans="2:9" s="50" customFormat="1" x14ac:dyDescent="0.25">
      <c r="B23" s="57">
        <v>2</v>
      </c>
      <c r="C23" s="58" t="s">
        <v>171</v>
      </c>
      <c r="D23" s="207">
        <f>SUM(D24:D35)</f>
        <v>589065000</v>
      </c>
      <c r="E23" s="207">
        <f>SUM(E24:E35)</f>
        <v>38150000</v>
      </c>
      <c r="F23" s="207">
        <f>SUM(F25:F35)</f>
        <v>0</v>
      </c>
      <c r="G23" s="35">
        <f>SUM(G24:G35)</f>
        <v>627215000</v>
      </c>
    </row>
    <row r="24" spans="2:9" s="50" customFormat="1" ht="15" customHeight="1" x14ac:dyDescent="0.25">
      <c r="B24" s="48"/>
      <c r="C24" s="49" t="s">
        <v>36</v>
      </c>
      <c r="D24" s="204">
        <v>35090000</v>
      </c>
      <c r="E24" s="204">
        <v>0</v>
      </c>
      <c r="F24" s="204">
        <v>0</v>
      </c>
      <c r="G24" s="37">
        <f>D24+E24-F24</f>
        <v>35090000</v>
      </c>
      <c r="I24" s="51"/>
    </row>
    <row r="25" spans="2:9" s="50" customFormat="1" ht="15" customHeight="1" x14ac:dyDescent="0.25">
      <c r="B25" s="61"/>
      <c r="C25" s="62" t="s">
        <v>37</v>
      </c>
      <c r="D25" s="205">
        <f>119830000+15000000</f>
        <v>134830000</v>
      </c>
      <c r="E25" s="205">
        <v>38150000</v>
      </c>
      <c r="F25" s="205">
        <v>0</v>
      </c>
      <c r="G25" s="37">
        <f t="shared" si="0"/>
        <v>172980000</v>
      </c>
      <c r="I25" s="51"/>
    </row>
    <row r="26" spans="2:9" s="50" customFormat="1" ht="15" customHeight="1" x14ac:dyDescent="0.25">
      <c r="B26" s="61"/>
      <c r="C26" s="62" t="s">
        <v>38</v>
      </c>
      <c r="D26" s="205">
        <f>78805000+3490000</f>
        <v>82295000</v>
      </c>
      <c r="E26" s="205">
        <v>0</v>
      </c>
      <c r="F26" s="205">
        <v>0</v>
      </c>
      <c r="G26" s="37">
        <f t="shared" si="0"/>
        <v>82295000</v>
      </c>
      <c r="I26" s="51"/>
    </row>
    <row r="27" spans="2:9" s="50" customFormat="1" ht="15" customHeight="1" x14ac:dyDescent="0.25">
      <c r="B27" s="61"/>
      <c r="C27" s="62" t="s">
        <v>39</v>
      </c>
      <c r="D27" s="205">
        <v>0</v>
      </c>
      <c r="E27" s="205">
        <v>0</v>
      </c>
      <c r="F27" s="205">
        <v>0</v>
      </c>
      <c r="G27" s="37">
        <f t="shared" si="0"/>
        <v>0</v>
      </c>
      <c r="I27" s="51"/>
    </row>
    <row r="28" spans="2:9" s="50" customFormat="1" ht="15" customHeight="1" x14ac:dyDescent="0.25">
      <c r="B28" s="61"/>
      <c r="C28" s="62" t="s">
        <v>40</v>
      </c>
      <c r="D28" s="205">
        <v>5350000</v>
      </c>
      <c r="E28" s="205">
        <v>0</v>
      </c>
      <c r="F28" s="205">
        <v>0</v>
      </c>
      <c r="G28" s="37">
        <f t="shared" si="0"/>
        <v>5350000</v>
      </c>
      <c r="I28" s="51"/>
    </row>
    <row r="29" spans="2:9" s="50" customFormat="1" ht="15" customHeight="1" x14ac:dyDescent="0.25">
      <c r="B29" s="61"/>
      <c r="C29" s="62" t="s">
        <v>41</v>
      </c>
      <c r="D29" s="205">
        <v>0</v>
      </c>
      <c r="E29" s="205">
        <v>0</v>
      </c>
      <c r="F29" s="205">
        <v>0</v>
      </c>
      <c r="G29" s="37">
        <f t="shared" si="0"/>
        <v>0</v>
      </c>
      <c r="I29" s="51"/>
    </row>
    <row r="30" spans="2:9" s="50" customFormat="1" ht="15" customHeight="1" x14ac:dyDescent="0.25">
      <c r="B30" s="61"/>
      <c r="C30" s="62" t="s">
        <v>42</v>
      </c>
      <c r="D30" s="205">
        <v>7000000</v>
      </c>
      <c r="E30" s="205">
        <v>0</v>
      </c>
      <c r="F30" s="205">
        <v>0</v>
      </c>
      <c r="G30" s="37">
        <f t="shared" si="0"/>
        <v>7000000</v>
      </c>
      <c r="I30" s="51"/>
    </row>
    <row r="31" spans="2:9" s="50" customFormat="1" ht="15" customHeight="1" x14ac:dyDescent="0.25">
      <c r="B31" s="61"/>
      <c r="C31" s="62" t="s">
        <v>43</v>
      </c>
      <c r="D31" s="205">
        <v>0</v>
      </c>
      <c r="E31" s="205">
        <v>0</v>
      </c>
      <c r="F31" s="205">
        <v>0</v>
      </c>
      <c r="G31" s="37">
        <f t="shared" si="0"/>
        <v>0</v>
      </c>
      <c r="I31" s="51"/>
    </row>
    <row r="32" spans="2:9" s="50" customFormat="1" ht="15" customHeight="1" x14ac:dyDescent="0.25">
      <c r="B32" s="61"/>
      <c r="C32" s="62" t="s">
        <v>44</v>
      </c>
      <c r="D32" s="205">
        <f>40500000+284000000</f>
        <v>324500000</v>
      </c>
      <c r="E32" s="205">
        <v>0</v>
      </c>
      <c r="F32" s="205">
        <v>0</v>
      </c>
      <c r="G32" s="37">
        <f t="shared" si="0"/>
        <v>324500000</v>
      </c>
      <c r="I32" s="51"/>
    </row>
    <row r="33" spans="2:9" s="50" customFormat="1" ht="15" customHeight="1" x14ac:dyDescent="0.25">
      <c r="B33" s="61"/>
      <c r="C33" s="62" t="s">
        <v>45</v>
      </c>
      <c r="D33" s="205">
        <v>0</v>
      </c>
      <c r="E33" s="205">
        <v>0</v>
      </c>
      <c r="F33" s="205">
        <v>0</v>
      </c>
      <c r="G33" s="37">
        <f t="shared" si="0"/>
        <v>0</v>
      </c>
      <c r="I33" s="51"/>
    </row>
    <row r="34" spans="2:9" s="50" customFormat="1" ht="15" customHeight="1" x14ac:dyDescent="0.25">
      <c r="B34" s="61"/>
      <c r="C34" s="62" t="s">
        <v>46</v>
      </c>
      <c r="D34" s="205">
        <v>0</v>
      </c>
      <c r="E34" s="205">
        <v>0</v>
      </c>
      <c r="F34" s="205">
        <v>0</v>
      </c>
      <c r="G34" s="37">
        <f t="shared" si="0"/>
        <v>0</v>
      </c>
      <c r="I34" s="51"/>
    </row>
    <row r="35" spans="2:9" s="50" customFormat="1" ht="26.25" customHeight="1" x14ac:dyDescent="0.25">
      <c r="B35" s="52"/>
      <c r="C35" s="53" t="s">
        <v>47</v>
      </c>
      <c r="D35" s="206">
        <v>0</v>
      </c>
      <c r="E35" s="206">
        <v>0</v>
      </c>
      <c r="F35" s="206">
        <v>0</v>
      </c>
      <c r="G35" s="37">
        <f t="shared" si="0"/>
        <v>0</v>
      </c>
      <c r="I35" s="51"/>
    </row>
    <row r="36" spans="2:9" s="50" customFormat="1" x14ac:dyDescent="0.25">
      <c r="B36" s="57">
        <v>3</v>
      </c>
      <c r="C36" s="58" t="s">
        <v>172</v>
      </c>
      <c r="D36" s="207">
        <f>SUM(D37:D61)</f>
        <v>838776500</v>
      </c>
      <c r="E36" s="207">
        <f>SUM(E37:E61)</f>
        <v>14637500</v>
      </c>
      <c r="F36" s="207">
        <f>SUM(F37:F61)</f>
        <v>0</v>
      </c>
      <c r="G36" s="35">
        <f>SUM(G37:G61)</f>
        <v>853414000</v>
      </c>
      <c r="I36" s="51"/>
    </row>
    <row r="37" spans="2:9" s="50" customFormat="1" ht="15" customHeight="1" x14ac:dyDescent="0.25">
      <c r="B37" s="48"/>
      <c r="C37" s="49" t="s">
        <v>48</v>
      </c>
      <c r="D37" s="204">
        <v>507184000</v>
      </c>
      <c r="E37" s="204">
        <v>0</v>
      </c>
      <c r="F37" s="204">
        <v>0</v>
      </c>
      <c r="G37" s="37">
        <f t="shared" si="0"/>
        <v>507184000</v>
      </c>
      <c r="I37" s="51"/>
    </row>
    <row r="38" spans="2:9" s="50" customFormat="1" ht="15" customHeight="1" x14ac:dyDescent="0.25">
      <c r="B38" s="61"/>
      <c r="C38" s="62" t="s">
        <v>49</v>
      </c>
      <c r="D38" s="205">
        <v>0</v>
      </c>
      <c r="E38" s="205">
        <v>0</v>
      </c>
      <c r="F38" s="205">
        <v>0</v>
      </c>
      <c r="G38" s="37">
        <f t="shared" si="0"/>
        <v>0</v>
      </c>
      <c r="I38" s="51"/>
    </row>
    <row r="39" spans="2:9" s="50" customFormat="1" ht="15" customHeight="1" x14ac:dyDescent="0.25">
      <c r="B39" s="61"/>
      <c r="C39" s="62" t="s">
        <v>50</v>
      </c>
      <c r="D39" s="205">
        <v>0</v>
      </c>
      <c r="E39" s="205">
        <v>0</v>
      </c>
      <c r="F39" s="205">
        <v>0</v>
      </c>
      <c r="G39" s="37">
        <f t="shared" si="0"/>
        <v>0</v>
      </c>
      <c r="I39" s="51"/>
    </row>
    <row r="40" spans="2:9" s="50" customFormat="1" ht="15" customHeight="1" x14ac:dyDescent="0.25">
      <c r="B40" s="61"/>
      <c r="C40" s="62" t="s">
        <v>51</v>
      </c>
      <c r="D40" s="205">
        <v>0</v>
      </c>
      <c r="E40" s="205">
        <v>0</v>
      </c>
      <c r="F40" s="205">
        <v>0</v>
      </c>
      <c r="G40" s="37">
        <f t="shared" si="0"/>
        <v>0</v>
      </c>
      <c r="I40" s="51"/>
    </row>
    <row r="41" spans="2:9" s="50" customFormat="1" ht="15" customHeight="1" x14ac:dyDescent="0.25">
      <c r="B41" s="61"/>
      <c r="C41" s="62" t="s">
        <v>52</v>
      </c>
      <c r="D41" s="205">
        <v>0</v>
      </c>
      <c r="E41" s="205">
        <v>0</v>
      </c>
      <c r="F41" s="205">
        <v>0</v>
      </c>
      <c r="G41" s="37">
        <f t="shared" si="0"/>
        <v>0</v>
      </c>
      <c r="I41" s="51"/>
    </row>
    <row r="42" spans="2:9" s="50" customFormat="1" ht="15" customHeight="1" x14ac:dyDescent="0.25">
      <c r="B42" s="61"/>
      <c r="C42" s="62" t="s">
        <v>53</v>
      </c>
      <c r="D42" s="205">
        <v>15000000</v>
      </c>
      <c r="E42" s="205">
        <v>0</v>
      </c>
      <c r="F42" s="205">
        <v>0</v>
      </c>
      <c r="G42" s="37">
        <f t="shared" si="0"/>
        <v>15000000</v>
      </c>
      <c r="I42" s="51"/>
    </row>
    <row r="43" spans="2:9" s="50" customFormat="1" ht="15" customHeight="1" x14ac:dyDescent="0.25">
      <c r="B43" s="61"/>
      <c r="C43" s="62" t="s">
        <v>54</v>
      </c>
      <c r="D43" s="205">
        <v>41288000</v>
      </c>
      <c r="E43" s="205">
        <v>0</v>
      </c>
      <c r="F43" s="205">
        <v>0</v>
      </c>
      <c r="G43" s="37">
        <f>D43+E43-F43</f>
        <v>41288000</v>
      </c>
      <c r="I43" s="51"/>
    </row>
    <row r="44" spans="2:9" s="50" customFormat="1" ht="15" customHeight="1" x14ac:dyDescent="0.25">
      <c r="B44" s="61"/>
      <c r="C44" s="62" t="s">
        <v>55</v>
      </c>
      <c r="D44" s="205">
        <v>100000000</v>
      </c>
      <c r="E44" s="205">
        <v>0</v>
      </c>
      <c r="F44" s="205">
        <v>0</v>
      </c>
      <c r="G44" s="37">
        <f t="shared" si="0"/>
        <v>100000000</v>
      </c>
      <c r="I44" s="51"/>
    </row>
    <row r="45" spans="2:9" s="50" customFormat="1" ht="15" customHeight="1" x14ac:dyDescent="0.25">
      <c r="B45" s="61"/>
      <c r="C45" s="62" t="s">
        <v>56</v>
      </c>
      <c r="D45" s="205">
        <v>12056500</v>
      </c>
      <c r="E45" s="205">
        <v>14637500</v>
      </c>
      <c r="F45" s="205">
        <v>0</v>
      </c>
      <c r="G45" s="37">
        <f t="shared" si="0"/>
        <v>26694000</v>
      </c>
      <c r="I45" s="51"/>
    </row>
    <row r="46" spans="2:9" s="50" customFormat="1" ht="15" customHeight="1" x14ac:dyDescent="0.25">
      <c r="B46" s="61"/>
      <c r="C46" s="62" t="s">
        <v>57</v>
      </c>
      <c r="D46" s="205">
        <v>0</v>
      </c>
      <c r="E46" s="205">
        <v>0</v>
      </c>
      <c r="F46" s="205">
        <v>0</v>
      </c>
      <c r="G46" s="37">
        <f t="shared" si="0"/>
        <v>0</v>
      </c>
      <c r="I46" s="51"/>
    </row>
    <row r="47" spans="2:9" s="50" customFormat="1" ht="21" customHeight="1" x14ac:dyDescent="0.25">
      <c r="B47" s="61"/>
      <c r="C47" s="62" t="s">
        <v>58</v>
      </c>
      <c r="D47" s="205">
        <v>105000000</v>
      </c>
      <c r="E47" s="205">
        <v>0</v>
      </c>
      <c r="F47" s="205">
        <v>0</v>
      </c>
      <c r="G47" s="37">
        <f t="shared" si="0"/>
        <v>105000000</v>
      </c>
      <c r="I47" s="51"/>
    </row>
    <row r="48" spans="2:9" s="50" customFormat="1" ht="15" customHeight="1" x14ac:dyDescent="0.25">
      <c r="B48" s="61"/>
      <c r="C48" s="62" t="s">
        <v>59</v>
      </c>
      <c r="D48" s="205">
        <v>0</v>
      </c>
      <c r="E48" s="205">
        <v>0</v>
      </c>
      <c r="F48" s="205">
        <v>0</v>
      </c>
      <c r="G48" s="37">
        <f t="shared" si="0"/>
        <v>0</v>
      </c>
      <c r="I48" s="51"/>
    </row>
    <row r="49" spans="2:9" s="50" customFormat="1" ht="15" customHeight="1" x14ac:dyDescent="0.25">
      <c r="B49" s="61"/>
      <c r="C49" s="62" t="s">
        <v>60</v>
      </c>
      <c r="D49" s="205">
        <v>0</v>
      </c>
      <c r="E49" s="205">
        <v>0</v>
      </c>
      <c r="F49" s="205">
        <v>0</v>
      </c>
      <c r="G49" s="37">
        <f t="shared" si="0"/>
        <v>0</v>
      </c>
      <c r="I49" s="51"/>
    </row>
    <row r="50" spans="2:9" s="50" customFormat="1" ht="15" customHeight="1" x14ac:dyDescent="0.25">
      <c r="B50" s="61"/>
      <c r="C50" s="62" t="s">
        <v>61</v>
      </c>
      <c r="D50" s="205">
        <v>0</v>
      </c>
      <c r="E50" s="205">
        <v>0</v>
      </c>
      <c r="F50" s="205">
        <v>0</v>
      </c>
      <c r="G50" s="37">
        <f t="shared" si="0"/>
        <v>0</v>
      </c>
      <c r="I50" s="51"/>
    </row>
    <row r="51" spans="2:9" s="50" customFormat="1" ht="15" customHeight="1" x14ac:dyDescent="0.25">
      <c r="B51" s="61"/>
      <c r="C51" s="62" t="s">
        <v>62</v>
      </c>
      <c r="D51" s="205">
        <v>0</v>
      </c>
      <c r="E51" s="205">
        <v>0</v>
      </c>
      <c r="F51" s="205">
        <v>0</v>
      </c>
      <c r="G51" s="37">
        <f t="shared" si="0"/>
        <v>0</v>
      </c>
      <c r="I51" s="51"/>
    </row>
    <row r="52" spans="2:9" s="50" customFormat="1" ht="15" customHeight="1" x14ac:dyDescent="0.25">
      <c r="B52" s="61"/>
      <c r="C52" s="62" t="s">
        <v>63</v>
      </c>
      <c r="D52" s="205">
        <v>0</v>
      </c>
      <c r="E52" s="205">
        <v>0</v>
      </c>
      <c r="F52" s="205">
        <v>0</v>
      </c>
      <c r="G52" s="37">
        <f t="shared" si="0"/>
        <v>0</v>
      </c>
      <c r="I52" s="51"/>
    </row>
    <row r="53" spans="2:9" s="50" customFormat="1" ht="15" customHeight="1" x14ac:dyDescent="0.25">
      <c r="B53" s="61"/>
      <c r="C53" s="62" t="s">
        <v>64</v>
      </c>
      <c r="D53" s="205">
        <v>0</v>
      </c>
      <c r="E53" s="205">
        <v>0</v>
      </c>
      <c r="F53" s="205">
        <v>0</v>
      </c>
      <c r="G53" s="37">
        <f t="shared" si="0"/>
        <v>0</v>
      </c>
      <c r="I53" s="51"/>
    </row>
    <row r="54" spans="2:9" s="50" customFormat="1" ht="24" customHeight="1" x14ac:dyDescent="0.25">
      <c r="B54" s="61"/>
      <c r="C54" s="62" t="s">
        <v>65</v>
      </c>
      <c r="D54" s="205">
        <v>0</v>
      </c>
      <c r="E54" s="205">
        <v>0</v>
      </c>
      <c r="F54" s="205">
        <v>0</v>
      </c>
      <c r="G54" s="37">
        <f t="shared" si="0"/>
        <v>0</v>
      </c>
      <c r="I54" s="51"/>
    </row>
    <row r="55" spans="2:9" s="50" customFormat="1" ht="21" customHeight="1" x14ac:dyDescent="0.25">
      <c r="B55" s="61"/>
      <c r="C55" s="62" t="s">
        <v>66</v>
      </c>
      <c r="D55" s="205">
        <v>0</v>
      </c>
      <c r="E55" s="205">
        <v>0</v>
      </c>
      <c r="F55" s="205">
        <v>0</v>
      </c>
      <c r="G55" s="37">
        <f t="shared" si="0"/>
        <v>0</v>
      </c>
      <c r="I55" s="51"/>
    </row>
    <row r="56" spans="2:9" s="50" customFormat="1" ht="15" customHeight="1" x14ac:dyDescent="0.25">
      <c r="B56" s="61"/>
      <c r="C56" s="62" t="s">
        <v>67</v>
      </c>
      <c r="D56" s="205">
        <v>0</v>
      </c>
      <c r="E56" s="205">
        <v>0</v>
      </c>
      <c r="F56" s="205">
        <v>0</v>
      </c>
      <c r="G56" s="37">
        <f t="shared" si="0"/>
        <v>0</v>
      </c>
      <c r="I56" s="51"/>
    </row>
    <row r="57" spans="2:9" s="50" customFormat="1" ht="15" customHeight="1" x14ac:dyDescent="0.25">
      <c r="B57" s="61"/>
      <c r="C57" s="62" t="s">
        <v>68</v>
      </c>
      <c r="D57" s="205">
        <v>0</v>
      </c>
      <c r="E57" s="205">
        <v>0</v>
      </c>
      <c r="F57" s="205">
        <v>0</v>
      </c>
      <c r="G57" s="37">
        <f t="shared" si="0"/>
        <v>0</v>
      </c>
      <c r="I57" s="51"/>
    </row>
    <row r="58" spans="2:9" s="50" customFormat="1" ht="15" customHeight="1" x14ac:dyDescent="0.25">
      <c r="B58" s="61"/>
      <c r="C58" s="62" t="s">
        <v>69</v>
      </c>
      <c r="D58" s="205">
        <v>31508000</v>
      </c>
      <c r="E58" s="205">
        <v>0</v>
      </c>
      <c r="F58" s="205">
        <v>0</v>
      </c>
      <c r="G58" s="37">
        <f t="shared" si="0"/>
        <v>31508000</v>
      </c>
      <c r="I58" s="51"/>
    </row>
    <row r="59" spans="2:9" s="50" customFormat="1" ht="15" customHeight="1" x14ac:dyDescent="0.25">
      <c r="B59" s="61"/>
      <c r="C59" s="62" t="s">
        <v>70</v>
      </c>
      <c r="D59" s="205">
        <v>26740000</v>
      </c>
      <c r="E59" s="205">
        <v>0</v>
      </c>
      <c r="F59" s="205">
        <v>0</v>
      </c>
      <c r="G59" s="37">
        <f>D59+E59-F59</f>
        <v>26740000</v>
      </c>
      <c r="I59" s="51"/>
    </row>
    <row r="60" spans="2:9" s="50" customFormat="1" ht="15" customHeight="1" x14ac:dyDescent="0.25">
      <c r="B60" s="61"/>
      <c r="C60" s="62" t="s">
        <v>71</v>
      </c>
      <c r="D60" s="205">
        <v>0</v>
      </c>
      <c r="E60" s="205">
        <v>0</v>
      </c>
      <c r="F60" s="205">
        <v>0</v>
      </c>
      <c r="G60" s="37">
        <f t="shared" si="0"/>
        <v>0</v>
      </c>
      <c r="I60" s="51"/>
    </row>
    <row r="61" spans="2:9" s="50" customFormat="1" ht="28.5" customHeight="1" x14ac:dyDescent="0.25">
      <c r="B61" s="52"/>
      <c r="C61" s="53" t="s">
        <v>72</v>
      </c>
      <c r="D61" s="206">
        <v>0</v>
      </c>
      <c r="E61" s="206"/>
      <c r="F61" s="206">
        <v>0</v>
      </c>
      <c r="G61" s="37">
        <f t="shared" si="0"/>
        <v>0</v>
      </c>
      <c r="I61" s="51"/>
    </row>
    <row r="62" spans="2:9" s="50" customFormat="1" x14ac:dyDescent="0.25">
      <c r="B62" s="57">
        <v>4</v>
      </c>
      <c r="C62" s="58" t="s">
        <v>173</v>
      </c>
      <c r="D62" s="207">
        <f>SUM(D63:D82)</f>
        <v>6101086850</v>
      </c>
      <c r="E62" s="207">
        <f>SUM(E63:E82)</f>
        <v>949288500</v>
      </c>
      <c r="F62" s="207">
        <f>SUM(F63:F82)</f>
        <v>0</v>
      </c>
      <c r="G62" s="35">
        <f>SUM(G63:G82)</f>
        <v>7050375350</v>
      </c>
      <c r="I62" s="51"/>
    </row>
    <row r="63" spans="2:9" s="50" customFormat="1" x14ac:dyDescent="0.25">
      <c r="B63" s="48"/>
      <c r="C63" s="49" t="s">
        <v>73</v>
      </c>
      <c r="D63" s="204">
        <f>4525948200+404552900+747296750</f>
        <v>5677797850</v>
      </c>
      <c r="E63" s="204">
        <v>918237500</v>
      </c>
      <c r="F63" s="204">
        <v>0</v>
      </c>
      <c r="G63" s="37">
        <f t="shared" si="0"/>
        <v>6596035350</v>
      </c>
      <c r="I63" s="51"/>
    </row>
    <row r="64" spans="2:9" s="50" customFormat="1" x14ac:dyDescent="0.25">
      <c r="B64" s="61"/>
      <c r="C64" s="62" t="s">
        <v>74</v>
      </c>
      <c r="D64" s="205">
        <v>85000000</v>
      </c>
      <c r="E64" s="205">
        <v>0</v>
      </c>
      <c r="F64" s="205">
        <v>0</v>
      </c>
      <c r="G64" s="37">
        <f t="shared" si="0"/>
        <v>85000000</v>
      </c>
      <c r="I64" s="51"/>
    </row>
    <row r="65" spans="2:9" s="50" customFormat="1" x14ac:dyDescent="0.25">
      <c r="B65" s="61"/>
      <c r="C65" s="62" t="s">
        <v>75</v>
      </c>
      <c r="D65" s="205">
        <v>12772000</v>
      </c>
      <c r="E65" s="205">
        <v>0</v>
      </c>
      <c r="F65" s="205">
        <v>0</v>
      </c>
      <c r="G65" s="37">
        <f t="shared" si="0"/>
        <v>12772000</v>
      </c>
      <c r="I65" s="51"/>
    </row>
    <row r="66" spans="2:9" s="50" customFormat="1" x14ac:dyDescent="0.25">
      <c r="B66" s="61"/>
      <c r="C66" s="62" t="s">
        <v>76</v>
      </c>
      <c r="D66" s="205">
        <v>0</v>
      </c>
      <c r="E66" s="205">
        <v>0</v>
      </c>
      <c r="F66" s="205">
        <v>0</v>
      </c>
      <c r="G66" s="37">
        <f t="shared" si="0"/>
        <v>0</v>
      </c>
      <c r="I66" s="51"/>
    </row>
    <row r="67" spans="2:9" s="50" customFormat="1" x14ac:dyDescent="0.25">
      <c r="B67" s="61"/>
      <c r="C67" s="62" t="s">
        <v>77</v>
      </c>
      <c r="D67" s="205">
        <v>0</v>
      </c>
      <c r="E67" s="205">
        <v>0</v>
      </c>
      <c r="F67" s="205">
        <v>0</v>
      </c>
      <c r="G67" s="37">
        <f t="shared" si="0"/>
        <v>0</v>
      </c>
      <c r="I67" s="51"/>
    </row>
    <row r="68" spans="2:9" s="50" customFormat="1" ht="22.5" x14ac:dyDescent="0.25">
      <c r="B68" s="61"/>
      <c r="C68" s="62" t="s">
        <v>78</v>
      </c>
      <c r="D68" s="205">
        <v>0</v>
      </c>
      <c r="E68" s="205">
        <v>0</v>
      </c>
      <c r="F68" s="205">
        <v>0</v>
      </c>
      <c r="G68" s="37">
        <f t="shared" si="0"/>
        <v>0</v>
      </c>
      <c r="I68" s="51"/>
    </row>
    <row r="69" spans="2:9" s="50" customFormat="1" ht="22.5" x14ac:dyDescent="0.25">
      <c r="B69" s="61"/>
      <c r="C69" s="62" t="s">
        <v>79</v>
      </c>
      <c r="D69" s="205">
        <v>0</v>
      </c>
      <c r="E69" s="205">
        <v>0</v>
      </c>
      <c r="F69" s="205">
        <v>0</v>
      </c>
      <c r="G69" s="37">
        <f t="shared" si="0"/>
        <v>0</v>
      </c>
      <c r="I69" s="51"/>
    </row>
    <row r="70" spans="2:9" s="50" customFormat="1" x14ac:dyDescent="0.25">
      <c r="B70" s="61"/>
      <c r="C70" s="62" t="s">
        <v>80</v>
      </c>
      <c r="D70" s="205">
        <f>28450000+217549000</f>
        <v>245999000</v>
      </c>
      <c r="E70" s="205">
        <v>31051000</v>
      </c>
      <c r="F70" s="205">
        <v>0</v>
      </c>
      <c r="G70" s="37">
        <f t="shared" si="0"/>
        <v>277050000</v>
      </c>
      <c r="I70" s="51"/>
    </row>
    <row r="71" spans="2:9" s="50" customFormat="1" x14ac:dyDescent="0.25">
      <c r="B71" s="61"/>
      <c r="C71" s="62" t="s">
        <v>81</v>
      </c>
      <c r="D71" s="205">
        <v>0</v>
      </c>
      <c r="E71" s="205">
        <v>0</v>
      </c>
      <c r="F71" s="205">
        <v>0</v>
      </c>
      <c r="G71" s="37">
        <f t="shared" si="0"/>
        <v>0</v>
      </c>
      <c r="I71" s="51"/>
    </row>
    <row r="72" spans="2:9" s="50" customFormat="1" x14ac:dyDescent="0.25">
      <c r="B72" s="61"/>
      <c r="C72" s="62" t="s">
        <v>82</v>
      </c>
      <c r="D72" s="205">
        <v>72973000</v>
      </c>
      <c r="E72" s="205">
        <v>0</v>
      </c>
      <c r="F72" s="205">
        <v>0</v>
      </c>
      <c r="G72" s="37">
        <f>D72+E72-F72</f>
        <v>72973000</v>
      </c>
      <c r="I72" s="51"/>
    </row>
    <row r="73" spans="2:9" s="50" customFormat="1" x14ac:dyDescent="0.25">
      <c r="B73" s="61"/>
      <c r="C73" s="62" t="s">
        <v>83</v>
      </c>
      <c r="D73" s="205">
        <v>0</v>
      </c>
      <c r="E73" s="205">
        <v>0</v>
      </c>
      <c r="F73" s="205">
        <v>0</v>
      </c>
      <c r="G73" s="37">
        <f t="shared" si="0"/>
        <v>0</v>
      </c>
      <c r="I73" s="51"/>
    </row>
    <row r="74" spans="2:9" s="50" customFormat="1" x14ac:dyDescent="0.25">
      <c r="B74" s="61"/>
      <c r="C74" s="62" t="s">
        <v>84</v>
      </c>
      <c r="D74" s="205">
        <v>0</v>
      </c>
      <c r="E74" s="205">
        <v>0</v>
      </c>
      <c r="F74" s="205">
        <v>0</v>
      </c>
      <c r="G74" s="37">
        <f t="shared" ref="G74:G88" si="1">D74+E74-F74</f>
        <v>0</v>
      </c>
      <c r="I74" s="51"/>
    </row>
    <row r="75" spans="2:9" s="50" customFormat="1" x14ac:dyDescent="0.25">
      <c r="B75" s="61"/>
      <c r="C75" s="62" t="s">
        <v>85</v>
      </c>
      <c r="D75" s="205">
        <v>0</v>
      </c>
      <c r="E75" s="205">
        <v>0</v>
      </c>
      <c r="F75" s="205">
        <v>0</v>
      </c>
      <c r="G75" s="37">
        <f t="shared" si="1"/>
        <v>0</v>
      </c>
      <c r="I75" s="51"/>
    </row>
    <row r="76" spans="2:9" s="50" customFormat="1" x14ac:dyDescent="0.25">
      <c r="B76" s="61"/>
      <c r="C76" s="62" t="s">
        <v>86</v>
      </c>
      <c r="D76" s="205">
        <v>0</v>
      </c>
      <c r="E76" s="205">
        <v>0</v>
      </c>
      <c r="F76" s="205">
        <v>0</v>
      </c>
      <c r="G76" s="37">
        <f t="shared" si="1"/>
        <v>0</v>
      </c>
      <c r="I76" s="51"/>
    </row>
    <row r="77" spans="2:9" s="50" customFormat="1" x14ac:dyDescent="0.25">
      <c r="B77" s="61"/>
      <c r="C77" s="62" t="s">
        <v>87</v>
      </c>
      <c r="D77" s="205">
        <v>0</v>
      </c>
      <c r="E77" s="205">
        <v>0</v>
      </c>
      <c r="F77" s="205">
        <v>0</v>
      </c>
      <c r="G77" s="37">
        <f t="shared" si="1"/>
        <v>0</v>
      </c>
      <c r="I77" s="51"/>
    </row>
    <row r="78" spans="2:9" s="50" customFormat="1" x14ac:dyDescent="0.25">
      <c r="B78" s="61"/>
      <c r="C78" s="62" t="s">
        <v>88</v>
      </c>
      <c r="D78" s="205">
        <v>0</v>
      </c>
      <c r="E78" s="205">
        <v>0</v>
      </c>
      <c r="F78" s="205">
        <v>0</v>
      </c>
      <c r="G78" s="37">
        <f t="shared" si="1"/>
        <v>0</v>
      </c>
      <c r="I78" s="51"/>
    </row>
    <row r="79" spans="2:9" s="50" customFormat="1" x14ac:dyDescent="0.25">
      <c r="B79" s="61"/>
      <c r="C79" s="62" t="s">
        <v>89</v>
      </c>
      <c r="D79" s="205">
        <v>0</v>
      </c>
      <c r="E79" s="205">
        <v>0</v>
      </c>
      <c r="F79" s="205">
        <v>0</v>
      </c>
      <c r="G79" s="37">
        <f t="shared" si="1"/>
        <v>0</v>
      </c>
      <c r="I79" s="51"/>
    </row>
    <row r="80" spans="2:9" s="50" customFormat="1" x14ac:dyDescent="0.25">
      <c r="B80" s="61"/>
      <c r="C80" s="62" t="s">
        <v>90</v>
      </c>
      <c r="D80" s="205">
        <v>6545000</v>
      </c>
      <c r="E80" s="205">
        <v>0</v>
      </c>
      <c r="F80" s="205">
        <v>0</v>
      </c>
      <c r="G80" s="37">
        <f t="shared" si="1"/>
        <v>6545000</v>
      </c>
      <c r="I80" s="51"/>
    </row>
    <row r="81" spans="2:9" s="50" customFormat="1" x14ac:dyDescent="0.25">
      <c r="B81" s="61"/>
      <c r="C81" s="62" t="s">
        <v>91</v>
      </c>
      <c r="D81" s="205">
        <v>0</v>
      </c>
      <c r="E81" s="205">
        <v>0</v>
      </c>
      <c r="F81" s="205">
        <v>0</v>
      </c>
      <c r="G81" s="37">
        <f t="shared" si="1"/>
        <v>0</v>
      </c>
      <c r="I81" s="51"/>
    </row>
    <row r="82" spans="2:9" s="50" customFormat="1" x14ac:dyDescent="0.25">
      <c r="B82" s="52"/>
      <c r="C82" s="53" t="s">
        <v>92</v>
      </c>
      <c r="D82" s="206">
        <v>0</v>
      </c>
      <c r="E82" s="206">
        <v>0</v>
      </c>
      <c r="F82" s="206">
        <v>0</v>
      </c>
      <c r="G82" s="37">
        <f t="shared" si="1"/>
        <v>0</v>
      </c>
      <c r="I82" s="51"/>
    </row>
    <row r="83" spans="2:9" s="50" customFormat="1" x14ac:dyDescent="0.25">
      <c r="B83" s="57">
        <v>5</v>
      </c>
      <c r="C83" s="58" t="s">
        <v>174</v>
      </c>
      <c r="D83" s="207">
        <f>SUM(D84:D88)</f>
        <v>39181000</v>
      </c>
      <c r="E83" s="207">
        <f>SUM(E84:E88)</f>
        <v>0</v>
      </c>
      <c r="F83" s="207">
        <f>SUM(F84:F88)</f>
        <v>0</v>
      </c>
      <c r="G83" s="35">
        <f>SUM(G84:G88)</f>
        <v>39181000</v>
      </c>
      <c r="I83" s="51"/>
    </row>
    <row r="84" spans="2:9" s="50" customFormat="1" x14ac:dyDescent="0.25">
      <c r="B84" s="48"/>
      <c r="C84" s="49" t="s">
        <v>93</v>
      </c>
      <c r="D84" s="204">
        <v>1000</v>
      </c>
      <c r="E84" s="204">
        <v>0</v>
      </c>
      <c r="F84" s="204">
        <v>0</v>
      </c>
      <c r="G84" s="37">
        <f t="shared" si="1"/>
        <v>1000</v>
      </c>
      <c r="I84" s="51"/>
    </row>
    <row r="85" spans="2:9" s="50" customFormat="1" ht="22.5" x14ac:dyDescent="0.25">
      <c r="B85" s="64"/>
      <c r="C85" s="65" t="s">
        <v>94</v>
      </c>
      <c r="D85" s="208">
        <v>0</v>
      </c>
      <c r="E85" s="208">
        <v>0</v>
      </c>
      <c r="F85" s="208">
        <v>0</v>
      </c>
      <c r="G85" s="37">
        <f t="shared" si="1"/>
        <v>0</v>
      </c>
      <c r="I85" s="51"/>
    </row>
    <row r="86" spans="2:9" s="50" customFormat="1" x14ac:dyDescent="0.25">
      <c r="B86" s="64"/>
      <c r="C86" s="65" t="s">
        <v>95</v>
      </c>
      <c r="D86" s="208">
        <v>9700000</v>
      </c>
      <c r="E86" s="208">
        <v>0</v>
      </c>
      <c r="F86" s="208">
        <v>0</v>
      </c>
      <c r="G86" s="37">
        <f t="shared" si="1"/>
        <v>9700000</v>
      </c>
      <c r="I86" s="51"/>
    </row>
    <row r="87" spans="2:9" s="50" customFormat="1" x14ac:dyDescent="0.25">
      <c r="B87" s="61"/>
      <c r="C87" s="62" t="s">
        <v>96</v>
      </c>
      <c r="D87" s="205">
        <v>0</v>
      </c>
      <c r="E87" s="205">
        <v>0</v>
      </c>
      <c r="F87" s="205">
        <v>0</v>
      </c>
      <c r="G87" s="37">
        <f t="shared" si="1"/>
        <v>0</v>
      </c>
      <c r="I87" s="51"/>
    </row>
    <row r="88" spans="2:9" s="50" customFormat="1" x14ac:dyDescent="0.25">
      <c r="B88" s="52"/>
      <c r="C88" s="53" t="s">
        <v>97</v>
      </c>
      <c r="D88" s="206">
        <v>29480000</v>
      </c>
      <c r="E88" s="206">
        <v>0</v>
      </c>
      <c r="F88" s="206">
        <v>0</v>
      </c>
      <c r="G88" s="37">
        <f t="shared" si="1"/>
        <v>29480000</v>
      </c>
      <c r="I88" s="51"/>
    </row>
    <row r="89" spans="2:9" s="50" customFormat="1" x14ac:dyDescent="0.25">
      <c r="B89" s="57">
        <v>6</v>
      </c>
      <c r="C89" s="58" t="s">
        <v>175</v>
      </c>
      <c r="D89" s="35">
        <v>0</v>
      </c>
      <c r="E89" s="35">
        <v>0</v>
      </c>
      <c r="F89" s="35">
        <v>0</v>
      </c>
      <c r="G89" s="66">
        <f>D89+E89-F89</f>
        <v>0</v>
      </c>
    </row>
    <row r="90" spans="2:9" s="50" customFormat="1" x14ac:dyDescent="0.25">
      <c r="B90" s="57">
        <v>7</v>
      </c>
      <c r="C90" s="58" t="s">
        <v>176</v>
      </c>
      <c r="D90" s="35">
        <v>0</v>
      </c>
      <c r="E90" s="35">
        <v>0</v>
      </c>
      <c r="F90" s="35">
        <v>0</v>
      </c>
      <c r="G90" s="66">
        <f>D90+E90-F90</f>
        <v>0</v>
      </c>
    </row>
    <row r="91" spans="2:9" s="50" customFormat="1" x14ac:dyDescent="0.25">
      <c r="B91" s="57"/>
      <c r="C91" s="58"/>
      <c r="D91" s="35"/>
      <c r="E91" s="35"/>
      <c r="F91" s="35"/>
      <c r="G91" s="66"/>
    </row>
    <row r="92" spans="2:9" s="50" customFormat="1" x14ac:dyDescent="0.25">
      <c r="B92" s="23"/>
      <c r="C92" s="24" t="s">
        <v>128</v>
      </c>
      <c r="D92" s="36">
        <f>D8+D23+D36+D62+D83+D89+D90</f>
        <v>36238354950</v>
      </c>
      <c r="E92" s="36">
        <f>E8+E23+E36+E62+E83+E89+E90</f>
        <v>1002076000</v>
      </c>
      <c r="F92" s="36">
        <f>SUM(F8:F90)</f>
        <v>0</v>
      </c>
      <c r="G92" s="36">
        <f>G8+G23+G36+G62+G83+G89+G90</f>
        <v>37240430950</v>
      </c>
      <c r="I92" s="51"/>
    </row>
    <row r="93" spans="2:9" x14ac:dyDescent="0.25">
      <c r="I93" s="38"/>
    </row>
    <row r="94" spans="2:9" x14ac:dyDescent="0.25">
      <c r="F94" s="188" t="str">
        <f>'Dana Cadangan'!E17</f>
        <v>Desa Klego, 31 Desember 2025</v>
      </c>
      <c r="G94" s="188"/>
    </row>
    <row r="95" spans="2:9" x14ac:dyDescent="0.25">
      <c r="F95" s="189" t="s">
        <v>187</v>
      </c>
      <c r="G95" s="189"/>
    </row>
    <row r="96" spans="2:9" x14ac:dyDescent="0.25">
      <c r="F96" s="8"/>
    </row>
    <row r="97" spans="3:7" x14ac:dyDescent="0.25">
      <c r="F97" s="8"/>
    </row>
    <row r="98" spans="3:7" x14ac:dyDescent="0.25">
      <c r="F98" s="8"/>
    </row>
    <row r="99" spans="3:7" x14ac:dyDescent="0.25">
      <c r="C99" s="1"/>
      <c r="F99" s="189" t="s">
        <v>204</v>
      </c>
      <c r="G99" s="189"/>
    </row>
  </sheetData>
  <mergeCells count="11">
    <mergeCell ref="F94:G94"/>
    <mergeCell ref="F95:G95"/>
    <mergeCell ref="F99:G99"/>
    <mergeCell ref="B1:G1"/>
    <mergeCell ref="B2:G2"/>
    <mergeCell ref="B3:G3"/>
    <mergeCell ref="B5:B6"/>
    <mergeCell ref="C5:C6"/>
    <mergeCell ref="D5:D6"/>
    <mergeCell ref="E5:F5"/>
    <mergeCell ref="G5:G6"/>
  </mergeCells>
  <printOptions horizontalCentered="1"/>
  <pageMargins left="0.78740157480314965" right="0.39370078740157483" top="0.39370078740157483" bottom="0.39370078740157483" header="0.31496062992125984" footer="0.31496062992125984"/>
  <pageSetup paperSize="256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9"/>
  <sheetViews>
    <sheetView view="pageBreakPreview" zoomScale="95" zoomScaleNormal="100" zoomScaleSheetLayoutView="95" workbookViewId="0">
      <pane ySplit="3" topLeftCell="A74" activePane="bottomLeft" state="frozen"/>
      <selection pane="bottomLeft" activeCell="L119" sqref="L119"/>
    </sheetView>
  </sheetViews>
  <sheetFormatPr defaultRowHeight="15" x14ac:dyDescent="0.25"/>
  <cols>
    <col min="1" max="1" width="2" customWidth="1"/>
    <col min="2" max="2" width="1.7109375" style="1" customWidth="1"/>
    <col min="3" max="3" width="46.7109375" customWidth="1"/>
    <col min="4" max="5" width="18.7109375" style="4" customWidth="1"/>
    <col min="6" max="6" width="1.85546875" customWidth="1"/>
    <col min="7" max="7" width="21.140625" customWidth="1"/>
    <col min="8" max="8" width="18.5703125" bestFit="1" customWidth="1"/>
    <col min="9" max="9" width="10.85546875" bestFit="1" customWidth="1"/>
  </cols>
  <sheetData>
    <row r="1" spans="2:8" x14ac:dyDescent="0.25">
      <c r="B1" s="155" t="s">
        <v>117</v>
      </c>
      <c r="C1" s="155"/>
      <c r="D1" s="155"/>
      <c r="E1" s="155"/>
    </row>
    <row r="2" spans="2:8" x14ac:dyDescent="0.25">
      <c r="B2" s="125"/>
      <c r="C2" s="110"/>
      <c r="D2" s="126"/>
      <c r="E2" s="126"/>
    </row>
    <row r="3" spans="2:8" s="3" customFormat="1" ht="15.75" x14ac:dyDescent="0.25">
      <c r="B3" s="193" t="s">
        <v>118</v>
      </c>
      <c r="C3" s="194"/>
      <c r="D3" s="127">
        <v>2024</v>
      </c>
      <c r="E3" s="127">
        <v>2025</v>
      </c>
    </row>
    <row r="4" spans="2:8" s="1" customFormat="1" x14ac:dyDescent="0.25">
      <c r="B4" s="128" t="s">
        <v>0</v>
      </c>
      <c r="C4" s="129"/>
      <c r="D4" s="130">
        <f>SUM(D5:D22)</f>
        <v>179511779</v>
      </c>
      <c r="E4" s="130">
        <f>SUM(E5:E22)</f>
        <v>429191263</v>
      </c>
      <c r="G4" s="152">
        <f>E4-G7-G17</f>
        <v>415391263</v>
      </c>
    </row>
    <row r="5" spans="2:8" x14ac:dyDescent="0.25">
      <c r="B5" s="131"/>
      <c r="C5" s="132" t="s">
        <v>1</v>
      </c>
      <c r="D5" s="195">
        <v>0</v>
      </c>
      <c r="E5" s="195">
        <f>Silpa!B12</f>
        <v>0</v>
      </c>
      <c r="G5" s="2"/>
    </row>
    <row r="6" spans="2:8" x14ac:dyDescent="0.25">
      <c r="B6" s="133"/>
      <c r="C6" s="134" t="s">
        <v>2</v>
      </c>
      <c r="D6" s="196">
        <f>Silpa!C3</f>
        <v>114396779</v>
      </c>
      <c r="E6" s="196">
        <f>Silpa!B23</f>
        <v>350276263</v>
      </c>
      <c r="G6" s="38">
        <f>E6-114354527</f>
        <v>235921736</v>
      </c>
    </row>
    <row r="7" spans="2:8" x14ac:dyDescent="0.25">
      <c r="B7" s="133"/>
      <c r="C7" s="134" t="s">
        <v>3</v>
      </c>
      <c r="D7" s="196">
        <f>Piutang!D10+Piutang!D11+Piutang!D12</f>
        <v>64360000</v>
      </c>
      <c r="E7" s="196">
        <f>Piutang!G22</f>
        <v>77950000</v>
      </c>
      <c r="G7" s="38">
        <f>E7-D7</f>
        <v>13590000</v>
      </c>
      <c r="H7" s="38"/>
    </row>
    <row r="8" spans="2:8" x14ac:dyDescent="0.25">
      <c r="B8" s="133"/>
      <c r="C8" s="134" t="s">
        <v>4</v>
      </c>
      <c r="D8" s="196">
        <f>Piutang!D14</f>
        <v>0</v>
      </c>
      <c r="E8" s="196">
        <f>Piutang!G14</f>
        <v>0</v>
      </c>
      <c r="G8" s="38"/>
    </row>
    <row r="9" spans="2:8" x14ac:dyDescent="0.25">
      <c r="B9" s="133"/>
      <c r="C9" s="134" t="s">
        <v>5</v>
      </c>
      <c r="D9" s="196">
        <f>Piutang!D15</f>
        <v>0</v>
      </c>
      <c r="E9" s="196">
        <f>Piutang!G15</f>
        <v>0</v>
      </c>
    </row>
    <row r="10" spans="2:8" x14ac:dyDescent="0.25">
      <c r="B10" s="133"/>
      <c r="C10" s="134" t="s">
        <v>6</v>
      </c>
      <c r="D10" s="196">
        <f>Piutang!D16</f>
        <v>0</v>
      </c>
      <c r="E10" s="196">
        <f>Piutang!G16</f>
        <v>0</v>
      </c>
      <c r="G10" s="38">
        <f>D10+D11</f>
        <v>0</v>
      </c>
    </row>
    <row r="11" spans="2:8" x14ac:dyDescent="0.25">
      <c r="B11" s="133"/>
      <c r="C11" s="134" t="s">
        <v>7</v>
      </c>
      <c r="D11" s="196">
        <f>Piutang!D17</f>
        <v>0</v>
      </c>
      <c r="E11" s="196">
        <f>Piutang!G17</f>
        <v>0</v>
      </c>
    </row>
    <row r="12" spans="2:8" x14ac:dyDescent="0.25">
      <c r="B12" s="133"/>
      <c r="C12" s="134" t="s">
        <v>8</v>
      </c>
      <c r="D12" s="196">
        <f>Piutang!D18</f>
        <v>0</v>
      </c>
      <c r="E12" s="196">
        <f>Piutang!G18</f>
        <v>0</v>
      </c>
    </row>
    <row r="13" spans="2:8" x14ac:dyDescent="0.25">
      <c r="B13" s="133"/>
      <c r="C13" s="134" t="s">
        <v>9</v>
      </c>
      <c r="D13" s="196">
        <f>Piutang!D19</f>
        <v>0</v>
      </c>
      <c r="E13" s="196">
        <f>Piutang!G19</f>
        <v>0</v>
      </c>
    </row>
    <row r="14" spans="2:8" x14ac:dyDescent="0.25">
      <c r="B14" s="133"/>
      <c r="C14" s="134" t="s">
        <v>10</v>
      </c>
      <c r="D14" s="196">
        <f>Piutang!D20</f>
        <v>0</v>
      </c>
      <c r="E14" s="196">
        <f>Piutang!G20</f>
        <v>0</v>
      </c>
    </row>
    <row r="15" spans="2:8" s="54" customFormat="1" x14ac:dyDescent="0.25">
      <c r="B15" s="135"/>
      <c r="C15" s="136" t="s">
        <v>11</v>
      </c>
      <c r="D15" s="197">
        <v>100000</v>
      </c>
      <c r="E15" s="197">
        <f>Persediaan!D18</f>
        <v>60000</v>
      </c>
      <c r="G15" s="151">
        <f>SUM(E15:E16)</f>
        <v>965000</v>
      </c>
    </row>
    <row r="16" spans="2:8" s="54" customFormat="1" x14ac:dyDescent="0.25">
      <c r="B16" s="135"/>
      <c r="C16" s="136" t="s">
        <v>12</v>
      </c>
      <c r="D16" s="197">
        <v>655000</v>
      </c>
      <c r="E16" s="197">
        <f>Persediaan!E18</f>
        <v>905000</v>
      </c>
      <c r="G16" s="151">
        <f>SUM(D15:D16)</f>
        <v>755000</v>
      </c>
      <c r="H16" s="151"/>
    </row>
    <row r="17" spans="2:7" x14ac:dyDescent="0.25">
      <c r="B17" s="133"/>
      <c r="C17" s="134" t="s">
        <v>13</v>
      </c>
      <c r="D17" s="196">
        <f>Piutang!D23</f>
        <v>0</v>
      </c>
      <c r="E17" s="196">
        <f>Persediaan!F18</f>
        <v>0</v>
      </c>
      <c r="G17" s="38">
        <f>G15-G16</f>
        <v>210000</v>
      </c>
    </row>
    <row r="18" spans="2:7" x14ac:dyDescent="0.25">
      <c r="B18" s="133"/>
      <c r="C18" s="134" t="s">
        <v>14</v>
      </c>
      <c r="D18" s="196">
        <f>Piutang!D24</f>
        <v>0</v>
      </c>
      <c r="E18" s="196">
        <f>Persediaan!G18</f>
        <v>0</v>
      </c>
    </row>
    <row r="19" spans="2:7" x14ac:dyDescent="0.25">
      <c r="B19" s="133"/>
      <c r="C19" s="134" t="s">
        <v>15</v>
      </c>
      <c r="D19" s="196">
        <f>Piutang!D25</f>
        <v>0</v>
      </c>
      <c r="E19" s="196">
        <f>Persediaan!H18</f>
        <v>0</v>
      </c>
    </row>
    <row r="20" spans="2:7" x14ac:dyDescent="0.25">
      <c r="B20" s="133"/>
      <c r="C20" s="134" t="s">
        <v>16</v>
      </c>
      <c r="D20" s="196">
        <f>Piutang!D26</f>
        <v>0</v>
      </c>
      <c r="E20" s="196">
        <f>Persediaan!I18</f>
        <v>0</v>
      </c>
    </row>
    <row r="21" spans="2:7" x14ac:dyDescent="0.25">
      <c r="B21" s="133"/>
      <c r="C21" s="134" t="s">
        <v>17</v>
      </c>
      <c r="D21" s="196">
        <f>Piutang!D27</f>
        <v>0</v>
      </c>
      <c r="E21" s="196">
        <f>Persediaan!J18</f>
        <v>0</v>
      </c>
    </row>
    <row r="22" spans="2:7" x14ac:dyDescent="0.25">
      <c r="B22" s="137"/>
      <c r="C22" s="138" t="s">
        <v>195</v>
      </c>
      <c r="D22" s="198">
        <v>0</v>
      </c>
      <c r="E22" s="199">
        <f>Persediaan!K18</f>
        <v>0</v>
      </c>
    </row>
    <row r="23" spans="2:7" x14ac:dyDescent="0.25">
      <c r="B23" s="139"/>
      <c r="C23" s="134" t="s">
        <v>18</v>
      </c>
      <c r="D23" s="200">
        <v>0</v>
      </c>
      <c r="E23" s="201">
        <v>0</v>
      </c>
    </row>
    <row r="24" spans="2:7" s="1" customFormat="1" x14ac:dyDescent="0.25">
      <c r="B24" s="128" t="s">
        <v>19</v>
      </c>
      <c r="C24" s="129"/>
      <c r="D24" s="130">
        <f>+D25</f>
        <v>250000000</v>
      </c>
      <c r="E24" s="130">
        <f>+E25</f>
        <v>250000000</v>
      </c>
    </row>
    <row r="25" spans="2:7" x14ac:dyDescent="0.25">
      <c r="B25" s="139"/>
      <c r="C25" s="140" t="s">
        <v>20</v>
      </c>
      <c r="D25" s="200">
        <f>Investasi!D12</f>
        <v>250000000</v>
      </c>
      <c r="E25" s="200">
        <f>Investasi!G12</f>
        <v>250000000</v>
      </c>
    </row>
    <row r="26" spans="2:7" s="1" customFormat="1" x14ac:dyDescent="0.25">
      <c r="B26" s="128" t="s">
        <v>21</v>
      </c>
      <c r="C26" s="129"/>
      <c r="D26" s="130">
        <f>SUM(D27:D102)</f>
        <v>36238354950</v>
      </c>
      <c r="E26" s="130">
        <f>SUM(E27:E102)</f>
        <v>37240430950</v>
      </c>
      <c r="G26" s="152"/>
    </row>
    <row r="27" spans="2:7" x14ac:dyDescent="0.25">
      <c r="B27" s="131"/>
      <c r="C27" s="132" t="s">
        <v>22</v>
      </c>
      <c r="D27" s="195">
        <f>Aset!D9</f>
        <v>0</v>
      </c>
      <c r="E27" s="195">
        <f>Aset!G9</f>
        <v>0</v>
      </c>
    </row>
    <row r="28" spans="2:7" x14ac:dyDescent="0.25">
      <c r="B28" s="133"/>
      <c r="C28" s="134" t="s">
        <v>23</v>
      </c>
      <c r="D28" s="195">
        <f>Aset!D10</f>
        <v>7703802600</v>
      </c>
      <c r="E28" s="195">
        <f>Aset!G10</f>
        <v>7703802600</v>
      </c>
    </row>
    <row r="29" spans="2:7" x14ac:dyDescent="0.25">
      <c r="B29" s="133"/>
      <c r="C29" s="134" t="s">
        <v>24</v>
      </c>
      <c r="D29" s="195">
        <f>Aset!D11</f>
        <v>17576048000</v>
      </c>
      <c r="E29" s="195">
        <f>Aset!G11</f>
        <v>17576048000</v>
      </c>
    </row>
    <row r="30" spans="2:7" x14ac:dyDescent="0.25">
      <c r="B30" s="133"/>
      <c r="C30" s="134" t="s">
        <v>25</v>
      </c>
      <c r="D30" s="195">
        <f>Aset!D12</f>
        <v>0</v>
      </c>
      <c r="E30" s="195">
        <f>Aset!G12</f>
        <v>0</v>
      </c>
    </row>
    <row r="31" spans="2:7" x14ac:dyDescent="0.25">
      <c r="B31" s="133"/>
      <c r="C31" s="134" t="s">
        <v>26</v>
      </c>
      <c r="D31" s="195">
        <f>Aset!D13</f>
        <v>0</v>
      </c>
      <c r="E31" s="195">
        <f>Aset!G13</f>
        <v>0</v>
      </c>
    </row>
    <row r="32" spans="2:7" x14ac:dyDescent="0.25">
      <c r="B32" s="133"/>
      <c r="C32" s="134" t="s">
        <v>27</v>
      </c>
      <c r="D32" s="195">
        <f>Aset!D14</f>
        <v>0</v>
      </c>
      <c r="E32" s="195">
        <f>Aset!G14</f>
        <v>0</v>
      </c>
    </row>
    <row r="33" spans="2:7" x14ac:dyDescent="0.25">
      <c r="B33" s="133"/>
      <c r="C33" s="134" t="s">
        <v>28</v>
      </c>
      <c r="D33" s="195">
        <f>Aset!D15</f>
        <v>0</v>
      </c>
      <c r="E33" s="195">
        <f>Aset!G15</f>
        <v>0</v>
      </c>
    </row>
    <row r="34" spans="2:7" x14ac:dyDescent="0.25">
      <c r="B34" s="133"/>
      <c r="C34" s="134" t="s">
        <v>29</v>
      </c>
      <c r="D34" s="195">
        <f>Aset!D16</f>
        <v>0</v>
      </c>
      <c r="E34" s="195">
        <f>Aset!G16</f>
        <v>0</v>
      </c>
    </row>
    <row r="35" spans="2:7" x14ac:dyDescent="0.25">
      <c r="B35" s="133"/>
      <c r="C35" s="134" t="s">
        <v>30</v>
      </c>
      <c r="D35" s="195">
        <f>Aset!D17</f>
        <v>0</v>
      </c>
      <c r="E35" s="195">
        <f>Aset!G17</f>
        <v>0</v>
      </c>
    </row>
    <row r="36" spans="2:7" x14ac:dyDescent="0.25">
      <c r="B36" s="133"/>
      <c r="C36" s="134" t="s">
        <v>31</v>
      </c>
      <c r="D36" s="195">
        <f>Aset!D18</f>
        <v>0</v>
      </c>
      <c r="E36" s="195">
        <f>Aset!G18</f>
        <v>0</v>
      </c>
    </row>
    <row r="37" spans="2:7" s="2" customFormat="1" x14ac:dyDescent="0.25">
      <c r="B37" s="133"/>
      <c r="C37" s="134" t="s">
        <v>32</v>
      </c>
      <c r="D37" s="195">
        <f>Aset!D19</f>
        <v>0</v>
      </c>
      <c r="E37" s="195">
        <f>Aset!G19</f>
        <v>0</v>
      </c>
    </row>
    <row r="38" spans="2:7" s="2" customFormat="1" x14ac:dyDescent="0.25">
      <c r="B38" s="133"/>
      <c r="C38" s="134" t="s">
        <v>33</v>
      </c>
      <c r="D38" s="195">
        <f>Aset!D20</f>
        <v>1556171000</v>
      </c>
      <c r="E38" s="195">
        <f>Aset!G20</f>
        <v>1556171000</v>
      </c>
    </row>
    <row r="39" spans="2:7" s="2" customFormat="1" x14ac:dyDescent="0.25">
      <c r="B39" s="133"/>
      <c r="C39" s="134" t="s">
        <v>34</v>
      </c>
      <c r="D39" s="195">
        <f>Aset!D21</f>
        <v>0</v>
      </c>
      <c r="E39" s="195">
        <f>Aset!G21</f>
        <v>0</v>
      </c>
    </row>
    <row r="40" spans="2:7" s="2" customFormat="1" x14ac:dyDescent="0.25">
      <c r="B40" s="133"/>
      <c r="C40" s="134" t="s">
        <v>35</v>
      </c>
      <c r="D40" s="195">
        <f>Aset!D22</f>
        <v>1834224000</v>
      </c>
      <c r="E40" s="195">
        <f>Aset!G22</f>
        <v>1834224000</v>
      </c>
    </row>
    <row r="41" spans="2:7" s="2" customFormat="1" x14ac:dyDescent="0.25">
      <c r="B41" s="133"/>
      <c r="C41" s="134" t="s">
        <v>36</v>
      </c>
      <c r="D41" s="196">
        <f>Aset!D24</f>
        <v>35090000</v>
      </c>
      <c r="E41" s="196">
        <f>Aset!G24</f>
        <v>35090000</v>
      </c>
    </row>
    <row r="42" spans="2:7" s="2" customFormat="1" x14ac:dyDescent="0.25">
      <c r="B42" s="133"/>
      <c r="C42" s="134" t="s">
        <v>37</v>
      </c>
      <c r="D42" s="196">
        <f>Aset!D25</f>
        <v>134830000</v>
      </c>
      <c r="E42" s="196">
        <f>Aset!G25</f>
        <v>172980000</v>
      </c>
      <c r="G42" s="2">
        <f>E42-D42</f>
        <v>38150000</v>
      </c>
    </row>
    <row r="43" spans="2:7" s="2" customFormat="1" x14ac:dyDescent="0.25">
      <c r="B43" s="133"/>
      <c r="C43" s="134" t="s">
        <v>38</v>
      </c>
      <c r="D43" s="196">
        <f>Aset!D26</f>
        <v>82295000</v>
      </c>
      <c r="E43" s="196">
        <f>Aset!G26</f>
        <v>82295000</v>
      </c>
      <c r="G43" s="2">
        <f>E43-D43</f>
        <v>0</v>
      </c>
    </row>
    <row r="44" spans="2:7" s="2" customFormat="1" x14ac:dyDescent="0.25">
      <c r="B44" s="133"/>
      <c r="C44" s="134" t="s">
        <v>39</v>
      </c>
      <c r="D44" s="196">
        <f>Aset!D27</f>
        <v>0</v>
      </c>
      <c r="E44" s="196">
        <f>Aset!G27</f>
        <v>0</v>
      </c>
      <c r="G44" s="2">
        <f t="shared" ref="G44:G80" si="0">E44-D44</f>
        <v>0</v>
      </c>
    </row>
    <row r="45" spans="2:7" s="2" customFormat="1" x14ac:dyDescent="0.25">
      <c r="B45" s="133"/>
      <c r="C45" s="134" t="s">
        <v>40</v>
      </c>
      <c r="D45" s="196">
        <f>Aset!D28</f>
        <v>5350000</v>
      </c>
      <c r="E45" s="196">
        <f>Aset!G28</f>
        <v>5350000</v>
      </c>
      <c r="G45" s="2">
        <f t="shared" si="0"/>
        <v>0</v>
      </c>
    </row>
    <row r="46" spans="2:7" s="2" customFormat="1" x14ac:dyDescent="0.25">
      <c r="B46" s="133"/>
      <c r="C46" s="134" t="s">
        <v>41</v>
      </c>
      <c r="D46" s="196">
        <f>Aset!D29</f>
        <v>0</v>
      </c>
      <c r="E46" s="196">
        <f>Aset!G29</f>
        <v>0</v>
      </c>
      <c r="G46" s="2">
        <f t="shared" si="0"/>
        <v>0</v>
      </c>
    </row>
    <row r="47" spans="2:7" s="2" customFormat="1" x14ac:dyDescent="0.25">
      <c r="B47" s="133"/>
      <c r="C47" s="134" t="s">
        <v>42</v>
      </c>
      <c r="D47" s="196">
        <f>Aset!D30</f>
        <v>7000000</v>
      </c>
      <c r="E47" s="196">
        <f>Aset!G30</f>
        <v>7000000</v>
      </c>
      <c r="G47" s="2">
        <f t="shared" si="0"/>
        <v>0</v>
      </c>
    </row>
    <row r="48" spans="2:7" s="2" customFormat="1" x14ac:dyDescent="0.25">
      <c r="B48" s="133"/>
      <c r="C48" s="134" t="s">
        <v>43</v>
      </c>
      <c r="D48" s="196">
        <f>Aset!D31</f>
        <v>0</v>
      </c>
      <c r="E48" s="196">
        <f>Aset!G31</f>
        <v>0</v>
      </c>
      <c r="G48" s="2">
        <f t="shared" si="0"/>
        <v>0</v>
      </c>
    </row>
    <row r="49" spans="2:7" s="2" customFormat="1" x14ac:dyDescent="0.25">
      <c r="B49" s="133"/>
      <c r="C49" s="134" t="s">
        <v>44</v>
      </c>
      <c r="D49" s="196">
        <f>Aset!D32</f>
        <v>324500000</v>
      </c>
      <c r="E49" s="196">
        <f>Aset!G32</f>
        <v>324500000</v>
      </c>
      <c r="G49" s="2">
        <f t="shared" si="0"/>
        <v>0</v>
      </c>
    </row>
    <row r="50" spans="2:7" s="2" customFormat="1" x14ac:dyDescent="0.25">
      <c r="B50" s="133"/>
      <c r="C50" s="134" t="s">
        <v>45</v>
      </c>
      <c r="D50" s="196">
        <f>Aset!D33</f>
        <v>0</v>
      </c>
      <c r="E50" s="196">
        <f>Aset!G33</f>
        <v>0</v>
      </c>
      <c r="G50" s="2">
        <f t="shared" si="0"/>
        <v>0</v>
      </c>
    </row>
    <row r="51" spans="2:7" s="2" customFormat="1" x14ac:dyDescent="0.25">
      <c r="B51" s="133"/>
      <c r="C51" s="134" t="s">
        <v>46</v>
      </c>
      <c r="D51" s="196">
        <f>Aset!D34</f>
        <v>0</v>
      </c>
      <c r="E51" s="196">
        <f>Aset!G34</f>
        <v>0</v>
      </c>
      <c r="G51" s="2">
        <f t="shared" si="0"/>
        <v>0</v>
      </c>
    </row>
    <row r="52" spans="2:7" s="2" customFormat="1" x14ac:dyDescent="0.25">
      <c r="B52" s="133"/>
      <c r="C52" s="134" t="s">
        <v>47</v>
      </c>
      <c r="D52" s="196">
        <f>Aset!D35</f>
        <v>0</v>
      </c>
      <c r="E52" s="196">
        <f>Aset!G35</f>
        <v>0</v>
      </c>
      <c r="G52" s="2">
        <f t="shared" si="0"/>
        <v>0</v>
      </c>
    </row>
    <row r="53" spans="2:7" s="2" customFormat="1" x14ac:dyDescent="0.25">
      <c r="B53" s="133"/>
      <c r="C53" s="134" t="s">
        <v>48</v>
      </c>
      <c r="D53" s="196">
        <f>Aset!D37</f>
        <v>507184000</v>
      </c>
      <c r="E53" s="196">
        <f>Aset!G37</f>
        <v>507184000</v>
      </c>
      <c r="G53" s="2">
        <f t="shared" si="0"/>
        <v>0</v>
      </c>
    </row>
    <row r="54" spans="2:7" s="2" customFormat="1" x14ac:dyDescent="0.25">
      <c r="B54" s="133"/>
      <c r="C54" s="134" t="s">
        <v>49</v>
      </c>
      <c r="D54" s="196">
        <f>Aset!D38</f>
        <v>0</v>
      </c>
      <c r="E54" s="196">
        <f>Aset!G38</f>
        <v>0</v>
      </c>
      <c r="G54" s="2">
        <f t="shared" si="0"/>
        <v>0</v>
      </c>
    </row>
    <row r="55" spans="2:7" s="2" customFormat="1" x14ac:dyDescent="0.25">
      <c r="B55" s="133"/>
      <c r="C55" s="134" t="s">
        <v>50</v>
      </c>
      <c r="D55" s="196">
        <f>Aset!D39</f>
        <v>0</v>
      </c>
      <c r="E55" s="196">
        <f>Aset!G39</f>
        <v>0</v>
      </c>
      <c r="G55" s="2">
        <f t="shared" si="0"/>
        <v>0</v>
      </c>
    </row>
    <row r="56" spans="2:7" s="2" customFormat="1" x14ac:dyDescent="0.25">
      <c r="B56" s="133"/>
      <c r="C56" s="134" t="s">
        <v>51</v>
      </c>
      <c r="D56" s="196">
        <f>Aset!D40</f>
        <v>0</v>
      </c>
      <c r="E56" s="196">
        <f>Aset!G40</f>
        <v>0</v>
      </c>
      <c r="G56" s="2">
        <f t="shared" si="0"/>
        <v>0</v>
      </c>
    </row>
    <row r="57" spans="2:7" s="2" customFormat="1" x14ac:dyDescent="0.25">
      <c r="B57" s="133"/>
      <c r="C57" s="134" t="s">
        <v>52</v>
      </c>
      <c r="D57" s="196">
        <f>Aset!D41</f>
        <v>0</v>
      </c>
      <c r="E57" s="196">
        <f>Aset!G41</f>
        <v>0</v>
      </c>
      <c r="G57" s="2">
        <f t="shared" si="0"/>
        <v>0</v>
      </c>
    </row>
    <row r="58" spans="2:7" s="2" customFormat="1" x14ac:dyDescent="0.25">
      <c r="B58" s="133"/>
      <c r="C58" s="134" t="s">
        <v>53</v>
      </c>
      <c r="D58" s="196">
        <f>Aset!D42</f>
        <v>15000000</v>
      </c>
      <c r="E58" s="196">
        <f>Aset!G42</f>
        <v>15000000</v>
      </c>
      <c r="G58" s="2">
        <f t="shared" si="0"/>
        <v>0</v>
      </c>
    </row>
    <row r="59" spans="2:7" s="2" customFormat="1" x14ac:dyDescent="0.25">
      <c r="B59" s="133"/>
      <c r="C59" s="134" t="s">
        <v>54</v>
      </c>
      <c r="D59" s="196">
        <f>Aset!D43</f>
        <v>41288000</v>
      </c>
      <c r="E59" s="196">
        <f>Aset!G43</f>
        <v>41288000</v>
      </c>
      <c r="G59" s="2">
        <f t="shared" si="0"/>
        <v>0</v>
      </c>
    </row>
    <row r="60" spans="2:7" s="2" customFormat="1" x14ac:dyDescent="0.25">
      <c r="B60" s="133"/>
      <c r="C60" s="134" t="s">
        <v>55</v>
      </c>
      <c r="D60" s="196">
        <f>Aset!D44</f>
        <v>100000000</v>
      </c>
      <c r="E60" s="196">
        <f>Aset!G44</f>
        <v>100000000</v>
      </c>
      <c r="G60" s="2">
        <f t="shared" si="0"/>
        <v>0</v>
      </c>
    </row>
    <row r="61" spans="2:7" s="2" customFormat="1" x14ac:dyDescent="0.25">
      <c r="B61" s="133"/>
      <c r="C61" s="134" t="s">
        <v>56</v>
      </c>
      <c r="D61" s="196">
        <f>Aset!D45</f>
        <v>12056500</v>
      </c>
      <c r="E61" s="196">
        <f>Aset!G45</f>
        <v>26694000</v>
      </c>
      <c r="G61" s="2">
        <f t="shared" si="0"/>
        <v>14637500</v>
      </c>
    </row>
    <row r="62" spans="2:7" s="2" customFormat="1" x14ac:dyDescent="0.25">
      <c r="B62" s="133"/>
      <c r="C62" s="134" t="s">
        <v>57</v>
      </c>
      <c r="D62" s="196">
        <f>Aset!D46</f>
        <v>0</v>
      </c>
      <c r="E62" s="196">
        <f>Aset!G46</f>
        <v>0</v>
      </c>
      <c r="G62" s="2">
        <f t="shared" si="0"/>
        <v>0</v>
      </c>
    </row>
    <row r="63" spans="2:7" s="2" customFormat="1" x14ac:dyDescent="0.25">
      <c r="B63" s="133"/>
      <c r="C63" s="134" t="s">
        <v>58</v>
      </c>
      <c r="D63" s="196">
        <f>Aset!D47</f>
        <v>105000000</v>
      </c>
      <c r="E63" s="196">
        <f>Aset!G47</f>
        <v>105000000</v>
      </c>
      <c r="G63" s="2">
        <f t="shared" si="0"/>
        <v>0</v>
      </c>
    </row>
    <row r="64" spans="2:7" s="2" customFormat="1" x14ac:dyDescent="0.25">
      <c r="B64" s="133"/>
      <c r="C64" s="134" t="s">
        <v>59</v>
      </c>
      <c r="D64" s="196">
        <f>Aset!D48</f>
        <v>0</v>
      </c>
      <c r="E64" s="196">
        <f>Aset!G48</f>
        <v>0</v>
      </c>
      <c r="G64" s="2">
        <f t="shared" si="0"/>
        <v>0</v>
      </c>
    </row>
    <row r="65" spans="2:7" s="2" customFormat="1" x14ac:dyDescent="0.25">
      <c r="B65" s="133"/>
      <c r="C65" s="134" t="s">
        <v>60</v>
      </c>
      <c r="D65" s="196">
        <f>Aset!D49</f>
        <v>0</v>
      </c>
      <c r="E65" s="196">
        <f>Aset!G49</f>
        <v>0</v>
      </c>
      <c r="G65" s="2">
        <f t="shared" si="0"/>
        <v>0</v>
      </c>
    </row>
    <row r="66" spans="2:7" s="2" customFormat="1" x14ac:dyDescent="0.25">
      <c r="B66" s="133"/>
      <c r="C66" s="134" t="s">
        <v>61</v>
      </c>
      <c r="D66" s="196">
        <f>Aset!D50</f>
        <v>0</v>
      </c>
      <c r="E66" s="196">
        <f>Aset!G50</f>
        <v>0</v>
      </c>
      <c r="G66" s="2">
        <f t="shared" si="0"/>
        <v>0</v>
      </c>
    </row>
    <row r="67" spans="2:7" s="2" customFormat="1" x14ac:dyDescent="0.25">
      <c r="B67" s="133"/>
      <c r="C67" s="134" t="s">
        <v>62</v>
      </c>
      <c r="D67" s="196">
        <f>Aset!D51</f>
        <v>0</v>
      </c>
      <c r="E67" s="196">
        <f>Aset!G51</f>
        <v>0</v>
      </c>
      <c r="G67" s="2">
        <f t="shared" si="0"/>
        <v>0</v>
      </c>
    </row>
    <row r="68" spans="2:7" s="2" customFormat="1" x14ac:dyDescent="0.25">
      <c r="B68" s="133"/>
      <c r="C68" s="134" t="s">
        <v>63</v>
      </c>
      <c r="D68" s="196">
        <f>Aset!D52</f>
        <v>0</v>
      </c>
      <c r="E68" s="196">
        <f>Aset!G52</f>
        <v>0</v>
      </c>
      <c r="G68" s="2">
        <f t="shared" si="0"/>
        <v>0</v>
      </c>
    </row>
    <row r="69" spans="2:7" s="2" customFormat="1" x14ac:dyDescent="0.25">
      <c r="B69" s="133"/>
      <c r="C69" s="134" t="s">
        <v>64</v>
      </c>
      <c r="D69" s="196">
        <f>Aset!D53</f>
        <v>0</v>
      </c>
      <c r="E69" s="196">
        <f>Aset!G53</f>
        <v>0</v>
      </c>
      <c r="G69" s="2">
        <f t="shared" si="0"/>
        <v>0</v>
      </c>
    </row>
    <row r="70" spans="2:7" s="2" customFormat="1" x14ac:dyDescent="0.25">
      <c r="B70" s="133"/>
      <c r="C70" s="134" t="s">
        <v>65</v>
      </c>
      <c r="D70" s="196">
        <f>Aset!D54</f>
        <v>0</v>
      </c>
      <c r="E70" s="196">
        <f>Aset!G54</f>
        <v>0</v>
      </c>
      <c r="G70" s="2">
        <f t="shared" si="0"/>
        <v>0</v>
      </c>
    </row>
    <row r="71" spans="2:7" s="2" customFormat="1" x14ac:dyDescent="0.25">
      <c r="B71" s="133"/>
      <c r="C71" s="134" t="s">
        <v>66</v>
      </c>
      <c r="D71" s="196">
        <f>Aset!D55</f>
        <v>0</v>
      </c>
      <c r="E71" s="196">
        <f>Aset!G55</f>
        <v>0</v>
      </c>
      <c r="G71" s="2">
        <f t="shared" si="0"/>
        <v>0</v>
      </c>
    </row>
    <row r="72" spans="2:7" s="2" customFormat="1" x14ac:dyDescent="0.25">
      <c r="B72" s="133"/>
      <c r="C72" s="134" t="s">
        <v>67</v>
      </c>
      <c r="D72" s="196">
        <f>Aset!D56</f>
        <v>0</v>
      </c>
      <c r="E72" s="196">
        <f>Aset!G56</f>
        <v>0</v>
      </c>
      <c r="G72" s="2">
        <f t="shared" si="0"/>
        <v>0</v>
      </c>
    </row>
    <row r="73" spans="2:7" s="2" customFormat="1" x14ac:dyDescent="0.25">
      <c r="B73" s="133"/>
      <c r="C73" s="134" t="s">
        <v>68</v>
      </c>
      <c r="D73" s="196">
        <f>Aset!D57</f>
        <v>0</v>
      </c>
      <c r="E73" s="196">
        <f>Aset!G57</f>
        <v>0</v>
      </c>
      <c r="G73" s="2">
        <f t="shared" si="0"/>
        <v>0</v>
      </c>
    </row>
    <row r="74" spans="2:7" s="2" customFormat="1" x14ac:dyDescent="0.25">
      <c r="B74" s="133"/>
      <c r="C74" s="134" t="s">
        <v>69</v>
      </c>
      <c r="D74" s="196">
        <f>Aset!D58</f>
        <v>31508000</v>
      </c>
      <c r="E74" s="196">
        <f>Aset!G58</f>
        <v>31508000</v>
      </c>
      <c r="G74" s="2">
        <f t="shared" si="0"/>
        <v>0</v>
      </c>
    </row>
    <row r="75" spans="2:7" s="2" customFormat="1" x14ac:dyDescent="0.25">
      <c r="B75" s="133"/>
      <c r="C75" s="134" t="s">
        <v>70</v>
      </c>
      <c r="D75" s="196">
        <f>Aset!D59</f>
        <v>26740000</v>
      </c>
      <c r="E75" s="196">
        <f>Aset!G59</f>
        <v>26740000</v>
      </c>
      <c r="G75" s="2">
        <f t="shared" si="0"/>
        <v>0</v>
      </c>
    </row>
    <row r="76" spans="2:7" s="2" customFormat="1" x14ac:dyDescent="0.25">
      <c r="B76" s="133"/>
      <c r="C76" s="134" t="s">
        <v>71</v>
      </c>
      <c r="D76" s="196">
        <f>Aset!D60</f>
        <v>0</v>
      </c>
      <c r="E76" s="196">
        <f>Aset!G60</f>
        <v>0</v>
      </c>
      <c r="G76" s="2">
        <f t="shared" si="0"/>
        <v>0</v>
      </c>
    </row>
    <row r="77" spans="2:7" s="2" customFormat="1" x14ac:dyDescent="0.25">
      <c r="B77" s="133"/>
      <c r="C77" s="134" t="s">
        <v>72</v>
      </c>
      <c r="D77" s="196">
        <f>Aset!D61</f>
        <v>0</v>
      </c>
      <c r="E77" s="196">
        <f>Aset!G61</f>
        <v>0</v>
      </c>
      <c r="G77" s="2">
        <f t="shared" si="0"/>
        <v>0</v>
      </c>
    </row>
    <row r="78" spans="2:7" s="2" customFormat="1" x14ac:dyDescent="0.25">
      <c r="B78" s="133"/>
      <c r="C78" s="134" t="s">
        <v>73</v>
      </c>
      <c r="D78" s="196">
        <f>Aset!D63</f>
        <v>5677797850</v>
      </c>
      <c r="E78" s="196">
        <f>Aset!G63</f>
        <v>6596035350</v>
      </c>
      <c r="G78" s="2">
        <f t="shared" si="0"/>
        <v>918237500</v>
      </c>
    </row>
    <row r="79" spans="2:7" s="2" customFormat="1" x14ac:dyDescent="0.25">
      <c r="B79" s="133"/>
      <c r="C79" s="134" t="s">
        <v>74</v>
      </c>
      <c r="D79" s="196">
        <f>Aset!D64</f>
        <v>85000000</v>
      </c>
      <c r="E79" s="196">
        <f>Aset!G64</f>
        <v>85000000</v>
      </c>
      <c r="G79" s="2">
        <f t="shared" si="0"/>
        <v>0</v>
      </c>
    </row>
    <row r="80" spans="2:7" s="2" customFormat="1" x14ac:dyDescent="0.25">
      <c r="B80" s="133"/>
      <c r="C80" s="134" t="s">
        <v>75</v>
      </c>
      <c r="D80" s="196">
        <f>Aset!D65</f>
        <v>12772000</v>
      </c>
      <c r="E80" s="196">
        <f>Aset!G65</f>
        <v>12772000</v>
      </c>
      <c r="G80" s="2">
        <f t="shared" si="0"/>
        <v>0</v>
      </c>
    </row>
    <row r="81" spans="2:5" s="2" customFormat="1" x14ac:dyDescent="0.25">
      <c r="B81" s="133"/>
      <c r="C81" s="134" t="s">
        <v>76</v>
      </c>
      <c r="D81" s="196">
        <f>Aset!D66</f>
        <v>0</v>
      </c>
      <c r="E81" s="196">
        <f>Aset!G66</f>
        <v>0</v>
      </c>
    </row>
    <row r="82" spans="2:5" s="2" customFormat="1" x14ac:dyDescent="0.25">
      <c r="B82" s="133"/>
      <c r="C82" s="134" t="s">
        <v>77</v>
      </c>
      <c r="D82" s="196">
        <f>Aset!D67</f>
        <v>0</v>
      </c>
      <c r="E82" s="196">
        <f>Aset!G67</f>
        <v>0</v>
      </c>
    </row>
    <row r="83" spans="2:5" s="2" customFormat="1" x14ac:dyDescent="0.25">
      <c r="B83" s="133"/>
      <c r="C83" s="134" t="s">
        <v>78</v>
      </c>
      <c r="D83" s="196">
        <f>Aset!D68</f>
        <v>0</v>
      </c>
      <c r="E83" s="196">
        <f>Aset!G68</f>
        <v>0</v>
      </c>
    </row>
    <row r="84" spans="2:5" s="2" customFormat="1" x14ac:dyDescent="0.25">
      <c r="B84" s="133"/>
      <c r="C84" s="134" t="s">
        <v>79</v>
      </c>
      <c r="D84" s="196">
        <f>Aset!D69</f>
        <v>0</v>
      </c>
      <c r="E84" s="196">
        <f>Aset!G69</f>
        <v>0</v>
      </c>
    </row>
    <row r="85" spans="2:5" s="2" customFormat="1" x14ac:dyDescent="0.25">
      <c r="B85" s="133"/>
      <c r="C85" s="134" t="s">
        <v>80</v>
      </c>
      <c r="D85" s="196">
        <f>Aset!D70</f>
        <v>245999000</v>
      </c>
      <c r="E85" s="196">
        <f>Aset!G70</f>
        <v>277050000</v>
      </c>
    </row>
    <row r="86" spans="2:5" s="2" customFormat="1" x14ac:dyDescent="0.25">
      <c r="B86" s="133"/>
      <c r="C86" s="134" t="s">
        <v>81</v>
      </c>
      <c r="D86" s="196">
        <f>Aset!D71</f>
        <v>0</v>
      </c>
      <c r="E86" s="196">
        <f>Aset!G71</f>
        <v>0</v>
      </c>
    </row>
    <row r="87" spans="2:5" s="2" customFormat="1" x14ac:dyDescent="0.25">
      <c r="B87" s="133"/>
      <c r="C87" s="134" t="s">
        <v>82</v>
      </c>
      <c r="D87" s="196">
        <f>Aset!D72</f>
        <v>72973000</v>
      </c>
      <c r="E87" s="196">
        <f>Aset!G72</f>
        <v>72973000</v>
      </c>
    </row>
    <row r="88" spans="2:5" s="2" customFormat="1" x14ac:dyDescent="0.25">
      <c r="B88" s="133"/>
      <c r="C88" s="134" t="s">
        <v>83</v>
      </c>
      <c r="D88" s="196">
        <f>Aset!D73</f>
        <v>0</v>
      </c>
      <c r="E88" s="196">
        <f>Aset!G73</f>
        <v>0</v>
      </c>
    </row>
    <row r="89" spans="2:5" s="2" customFormat="1" x14ac:dyDescent="0.25">
      <c r="B89" s="133"/>
      <c r="C89" s="134" t="s">
        <v>84</v>
      </c>
      <c r="D89" s="196">
        <f>Aset!D74</f>
        <v>0</v>
      </c>
      <c r="E89" s="196">
        <f>Aset!G74</f>
        <v>0</v>
      </c>
    </row>
    <row r="90" spans="2:5" s="2" customFormat="1" x14ac:dyDescent="0.25">
      <c r="B90" s="133"/>
      <c r="C90" s="134" t="s">
        <v>85</v>
      </c>
      <c r="D90" s="196">
        <f>Aset!D75</f>
        <v>0</v>
      </c>
      <c r="E90" s="196">
        <f>Aset!G75</f>
        <v>0</v>
      </c>
    </row>
    <row r="91" spans="2:5" s="2" customFormat="1" x14ac:dyDescent="0.25">
      <c r="B91" s="133"/>
      <c r="C91" s="134" t="s">
        <v>86</v>
      </c>
      <c r="D91" s="196">
        <f>Aset!D76</f>
        <v>0</v>
      </c>
      <c r="E91" s="196">
        <f>Aset!G76</f>
        <v>0</v>
      </c>
    </row>
    <row r="92" spans="2:5" s="2" customFormat="1" x14ac:dyDescent="0.25">
      <c r="B92" s="133"/>
      <c r="C92" s="134" t="s">
        <v>87</v>
      </c>
      <c r="D92" s="196">
        <f>Aset!D77</f>
        <v>0</v>
      </c>
      <c r="E92" s="196">
        <f>Aset!G77</f>
        <v>0</v>
      </c>
    </row>
    <row r="93" spans="2:5" s="2" customFormat="1" x14ac:dyDescent="0.25">
      <c r="B93" s="133"/>
      <c r="C93" s="134" t="s">
        <v>88</v>
      </c>
      <c r="D93" s="196">
        <f>Aset!D78</f>
        <v>0</v>
      </c>
      <c r="E93" s="196">
        <f>Aset!G78</f>
        <v>0</v>
      </c>
    </row>
    <row r="94" spans="2:5" s="2" customFormat="1" x14ac:dyDescent="0.25">
      <c r="B94" s="133"/>
      <c r="C94" s="134" t="s">
        <v>89</v>
      </c>
      <c r="D94" s="196">
        <f>Aset!D79</f>
        <v>0</v>
      </c>
      <c r="E94" s="196">
        <f>Aset!G79</f>
        <v>0</v>
      </c>
    </row>
    <row r="95" spans="2:5" s="2" customFormat="1" x14ac:dyDescent="0.25">
      <c r="B95" s="133"/>
      <c r="C95" s="134" t="s">
        <v>90</v>
      </c>
      <c r="D95" s="196">
        <f>Aset!D80</f>
        <v>6545000</v>
      </c>
      <c r="E95" s="196">
        <f>Aset!G80</f>
        <v>6545000</v>
      </c>
    </row>
    <row r="96" spans="2:5" s="2" customFormat="1" x14ac:dyDescent="0.25">
      <c r="B96" s="133"/>
      <c r="C96" s="134" t="s">
        <v>91</v>
      </c>
      <c r="D96" s="196">
        <f>Aset!D81</f>
        <v>0</v>
      </c>
      <c r="E96" s="196">
        <f>Aset!G81</f>
        <v>0</v>
      </c>
    </row>
    <row r="97" spans="2:7" s="2" customFormat="1" x14ac:dyDescent="0.25">
      <c r="B97" s="133"/>
      <c r="C97" s="134" t="s">
        <v>92</v>
      </c>
      <c r="D97" s="196">
        <f>Aset!D82</f>
        <v>0</v>
      </c>
      <c r="E97" s="196">
        <f>Aset!G82</f>
        <v>0</v>
      </c>
    </row>
    <row r="98" spans="2:7" s="2" customFormat="1" x14ac:dyDescent="0.25">
      <c r="B98" s="133"/>
      <c r="C98" s="134" t="s">
        <v>93</v>
      </c>
      <c r="D98" s="196">
        <f>Aset!D84</f>
        <v>1000</v>
      </c>
      <c r="E98" s="196">
        <f>Aset!G84</f>
        <v>1000</v>
      </c>
    </row>
    <row r="99" spans="2:7" s="2" customFormat="1" x14ac:dyDescent="0.25">
      <c r="B99" s="133"/>
      <c r="C99" s="134" t="s">
        <v>94</v>
      </c>
      <c r="D99" s="196">
        <f>Aset!D85</f>
        <v>0</v>
      </c>
      <c r="E99" s="196">
        <f>Aset!G85</f>
        <v>0</v>
      </c>
    </row>
    <row r="100" spans="2:7" s="2" customFormat="1" x14ac:dyDescent="0.25">
      <c r="B100" s="133"/>
      <c r="C100" s="134" t="s">
        <v>95</v>
      </c>
      <c r="D100" s="196">
        <f>Aset!D86</f>
        <v>9700000</v>
      </c>
      <c r="E100" s="196">
        <f>Aset!G86</f>
        <v>9700000</v>
      </c>
    </row>
    <row r="101" spans="2:7" x14ac:dyDescent="0.25">
      <c r="B101" s="133"/>
      <c r="C101" s="134" t="s">
        <v>96</v>
      </c>
      <c r="D101" s="196">
        <f>Aset!D87</f>
        <v>0</v>
      </c>
      <c r="E101" s="196">
        <f>Aset!G87</f>
        <v>0</v>
      </c>
    </row>
    <row r="102" spans="2:7" x14ac:dyDescent="0.25">
      <c r="B102" s="137"/>
      <c r="C102" s="141" t="s">
        <v>97</v>
      </c>
      <c r="D102" s="196">
        <f>Aset!D88</f>
        <v>29480000</v>
      </c>
      <c r="E102" s="196">
        <f>Aset!G88</f>
        <v>29480000</v>
      </c>
    </row>
    <row r="103" spans="2:7" s="1" customFormat="1" x14ac:dyDescent="0.25">
      <c r="B103" s="128" t="s">
        <v>98</v>
      </c>
      <c r="C103" s="129"/>
      <c r="D103" s="130">
        <f>D104</f>
        <v>0</v>
      </c>
      <c r="E103" s="130">
        <f>E104</f>
        <v>0</v>
      </c>
    </row>
    <row r="104" spans="2:7" x14ac:dyDescent="0.25">
      <c r="B104" s="139"/>
      <c r="C104" s="140" t="s">
        <v>99</v>
      </c>
      <c r="D104" s="200">
        <f>'Dana Cadangan'!C10</f>
        <v>0</v>
      </c>
      <c r="E104" s="200">
        <f>'Dana Cadangan'!F14</f>
        <v>0</v>
      </c>
      <c r="G104" s="2"/>
    </row>
    <row r="105" spans="2:7" s="1" customFormat="1" x14ac:dyDescent="0.25">
      <c r="B105" s="128" t="s">
        <v>100</v>
      </c>
      <c r="C105" s="129"/>
      <c r="D105" s="130">
        <f>SUM(D106:D110)</f>
        <v>0</v>
      </c>
      <c r="E105" s="130">
        <f>SUM(E106:E110)</f>
        <v>0</v>
      </c>
    </row>
    <row r="106" spans="2:7" x14ac:dyDescent="0.25">
      <c r="B106" s="131"/>
      <c r="C106" s="132" t="s">
        <v>101</v>
      </c>
      <c r="D106" s="195">
        <v>0</v>
      </c>
      <c r="E106" s="195">
        <v>0</v>
      </c>
    </row>
    <row r="107" spans="2:7" x14ac:dyDescent="0.25">
      <c r="B107" s="133"/>
      <c r="C107" s="134" t="s">
        <v>102</v>
      </c>
      <c r="D107" s="196">
        <v>0</v>
      </c>
      <c r="E107" s="196">
        <v>0</v>
      </c>
    </row>
    <row r="108" spans="2:7" x14ac:dyDescent="0.25">
      <c r="B108" s="133"/>
      <c r="C108" s="134" t="s">
        <v>103</v>
      </c>
      <c r="D108" s="196">
        <v>0</v>
      </c>
      <c r="E108" s="196">
        <v>0</v>
      </c>
    </row>
    <row r="109" spans="2:7" x14ac:dyDescent="0.25">
      <c r="B109" s="133"/>
      <c r="C109" s="134" t="s">
        <v>104</v>
      </c>
      <c r="D109" s="196">
        <v>0</v>
      </c>
      <c r="E109" s="196">
        <v>0</v>
      </c>
    </row>
    <row r="110" spans="2:7" x14ac:dyDescent="0.25">
      <c r="B110" s="137"/>
      <c r="C110" s="141" t="s">
        <v>105</v>
      </c>
      <c r="D110" s="202"/>
      <c r="E110" s="202"/>
    </row>
    <row r="111" spans="2:7" s="1" customFormat="1" x14ac:dyDescent="0.25">
      <c r="B111" s="128" t="s">
        <v>106</v>
      </c>
      <c r="C111" s="129"/>
      <c r="D111" s="203">
        <f>SUM(D112:D118)</f>
        <v>0</v>
      </c>
      <c r="E111" s="203">
        <f>SUM(E112:E118)</f>
        <v>0</v>
      </c>
    </row>
    <row r="112" spans="2:7" x14ac:dyDescent="0.25">
      <c r="B112" s="131"/>
      <c r="C112" s="132" t="s">
        <v>107</v>
      </c>
      <c r="D112" s="195">
        <v>0</v>
      </c>
      <c r="E112" s="195">
        <v>0</v>
      </c>
    </row>
    <row r="113" spans="2:9" x14ac:dyDescent="0.25">
      <c r="B113" s="133"/>
      <c r="C113" s="134" t="s">
        <v>108</v>
      </c>
      <c r="D113" s="196">
        <v>0</v>
      </c>
      <c r="E113" s="196">
        <v>0</v>
      </c>
    </row>
    <row r="114" spans="2:9" x14ac:dyDescent="0.25">
      <c r="B114" s="133"/>
      <c r="C114" s="134" t="s">
        <v>109</v>
      </c>
      <c r="D114" s="196">
        <v>0</v>
      </c>
      <c r="E114" s="196">
        <v>0</v>
      </c>
    </row>
    <row r="115" spans="2:9" x14ac:dyDescent="0.25">
      <c r="B115" s="133"/>
      <c r="C115" s="134" t="s">
        <v>110</v>
      </c>
      <c r="D115" s="196">
        <f>Pajak!C14</f>
        <v>0</v>
      </c>
      <c r="E115" s="196">
        <f>Pajak!F14</f>
        <v>0</v>
      </c>
    </row>
    <row r="116" spans="2:9" x14ac:dyDescent="0.25">
      <c r="B116" s="133"/>
      <c r="C116" s="134" t="s">
        <v>111</v>
      </c>
      <c r="D116" s="196">
        <v>0</v>
      </c>
      <c r="E116" s="196">
        <v>0</v>
      </c>
    </row>
    <row r="117" spans="2:9" x14ac:dyDescent="0.25">
      <c r="B117" s="133"/>
      <c r="C117" s="134" t="s">
        <v>112</v>
      </c>
      <c r="D117" s="196">
        <v>0</v>
      </c>
      <c r="E117" s="196">
        <v>0</v>
      </c>
    </row>
    <row r="118" spans="2:9" x14ac:dyDescent="0.25">
      <c r="B118" s="137"/>
      <c r="C118" s="141" t="s">
        <v>113</v>
      </c>
      <c r="D118" s="202">
        <v>0</v>
      </c>
      <c r="E118" s="202">
        <v>0</v>
      </c>
      <c r="G118" s="55"/>
      <c r="H118" s="55"/>
    </row>
    <row r="119" spans="2:9" s="1" customFormat="1" x14ac:dyDescent="0.25">
      <c r="B119" s="128" t="s">
        <v>114</v>
      </c>
      <c r="C119" s="129"/>
      <c r="D119" s="130">
        <f>SUM(D120:D121)</f>
        <v>36667866729</v>
      </c>
      <c r="E119" s="130">
        <f>SUM(E120:E121)</f>
        <v>37919622213</v>
      </c>
      <c r="G119" s="56">
        <f>E119-G7</f>
        <v>37906032213</v>
      </c>
      <c r="H119" s="56">
        <f>G119-G17</f>
        <v>37905822213</v>
      </c>
      <c r="I119" s="152"/>
    </row>
    <row r="120" spans="2:9" x14ac:dyDescent="0.25">
      <c r="B120" s="131"/>
      <c r="C120" s="132" t="s">
        <v>115</v>
      </c>
      <c r="D120" s="195">
        <f>D24+D26+D105</f>
        <v>36488354950</v>
      </c>
      <c r="E120" s="195">
        <f>E24+E26+E105</f>
        <v>37490430950</v>
      </c>
      <c r="G120" s="38"/>
      <c r="H120" s="56">
        <f>H119+G104</f>
        <v>37905822213</v>
      </c>
    </row>
    <row r="121" spans="2:9" x14ac:dyDescent="0.25">
      <c r="B121" s="133"/>
      <c r="C121" s="134" t="s">
        <v>116</v>
      </c>
      <c r="D121" s="196">
        <f>D4+D103-D111</f>
        <v>179511779</v>
      </c>
      <c r="E121" s="196">
        <f>E4+E103-E111</f>
        <v>429191263</v>
      </c>
      <c r="G121" s="27"/>
    </row>
    <row r="122" spans="2:9" x14ac:dyDescent="0.25">
      <c r="B122" s="142"/>
      <c r="C122" s="143"/>
      <c r="D122" s="144"/>
      <c r="E122" s="144"/>
      <c r="G122" s="27"/>
    </row>
    <row r="123" spans="2:9" x14ac:dyDescent="0.25">
      <c r="B123" s="125"/>
      <c r="C123" s="110"/>
      <c r="D123" s="126"/>
      <c r="E123" s="126"/>
      <c r="G123" s="27"/>
    </row>
    <row r="124" spans="2:9" x14ac:dyDescent="0.25">
      <c r="B124" s="125"/>
      <c r="C124" s="110"/>
      <c r="D124" s="156" t="str">
        <f>Pajak!E17</f>
        <v>Desa Klego, 31 Desember 2025</v>
      </c>
      <c r="E124" s="156"/>
    </row>
    <row r="125" spans="2:9" x14ac:dyDescent="0.25">
      <c r="B125" s="125"/>
      <c r="C125" s="110"/>
      <c r="D125" s="157" t="s">
        <v>187</v>
      </c>
      <c r="E125" s="157"/>
    </row>
    <row r="126" spans="2:9" x14ac:dyDescent="0.25">
      <c r="B126" s="125"/>
      <c r="C126" s="110"/>
      <c r="D126" s="126"/>
      <c r="E126" s="145"/>
    </row>
    <row r="127" spans="2:9" x14ac:dyDescent="0.25">
      <c r="B127" s="125"/>
      <c r="C127" s="110"/>
      <c r="D127" s="126"/>
      <c r="E127" s="145"/>
    </row>
    <row r="128" spans="2:9" x14ac:dyDescent="0.25">
      <c r="B128" s="125"/>
      <c r="C128" s="110"/>
      <c r="D128" s="126"/>
      <c r="E128" s="145"/>
    </row>
    <row r="129" spans="2:5" x14ac:dyDescent="0.25">
      <c r="B129" s="125"/>
      <c r="C129" s="110"/>
      <c r="D129" s="157" t="s">
        <v>204</v>
      </c>
      <c r="E129" s="157"/>
    </row>
  </sheetData>
  <mergeCells count="5">
    <mergeCell ref="B3:C3"/>
    <mergeCell ref="B1:E1"/>
    <mergeCell ref="D124:E124"/>
    <mergeCell ref="D125:E125"/>
    <mergeCell ref="D129:E129"/>
  </mergeCells>
  <printOptions horizontalCentered="1"/>
  <pageMargins left="0.78740157480314965" right="0.39370078740157483" top="0.39370078740157483" bottom="0.39370078740157483" header="0.31496062992125984" footer="0.31496062992125984"/>
  <pageSetup paperSize="256" orientation="portrait" r:id="rId1"/>
  <rowBreaks count="1" manualBreakCount="1">
    <brk id="118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Silpa</vt:lpstr>
      <vt:lpstr>Piutang</vt:lpstr>
      <vt:lpstr>Persediaan</vt:lpstr>
      <vt:lpstr>Investasi</vt:lpstr>
      <vt:lpstr>Dana Cadangan</vt:lpstr>
      <vt:lpstr>Pajak</vt:lpstr>
      <vt:lpstr>Aset</vt:lpstr>
      <vt:lpstr>KK</vt:lpstr>
      <vt:lpstr>Aset!Print_Area</vt:lpstr>
      <vt:lpstr>'Dana Cadangan'!Print_Area</vt:lpstr>
      <vt:lpstr>KK!Print_Area</vt:lpstr>
      <vt:lpstr>Pajak!Print_Area</vt:lpstr>
      <vt:lpstr>Piutang!Print_Area</vt:lpstr>
      <vt:lpstr>Silpa!Print_Area</vt:lpstr>
      <vt:lpstr>Aset!Print_Titles</vt:lpstr>
      <vt:lpstr>KK!Print_Titles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sepu10h</cp:lastModifiedBy>
  <cp:lastPrinted>2026-01-30T02:03:27Z</cp:lastPrinted>
  <dcterms:created xsi:type="dcterms:W3CDTF">2020-12-28T01:39:40Z</dcterms:created>
  <dcterms:modified xsi:type="dcterms:W3CDTF">2026-01-30T02:33:39Z</dcterms:modified>
</cp:coreProperties>
</file>