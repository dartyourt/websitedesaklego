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FILE 2026\LAPORAN PERTANGGUNGJAWABAN APBDesa TA 2025\DESA KLEGO ASET\ASAET DESA KLEGO 2025\"/>
    </mc:Choice>
  </mc:AlternateContent>
  <bookViews>
    <workbookView xWindow="-105" yWindow="-105" windowWidth="19425" windowHeight="10305" tabRatio="857"/>
  </bookViews>
  <sheets>
    <sheet name="RekapPersediaan" sheetId="7" r:id="rId1"/>
    <sheet name="Persediaan Materai" sheetId="3" r:id="rId2"/>
    <sheet name="Persediaan ATK" sheetId="2" r:id="rId3"/>
    <sheet name="Blangko dan Cetakan" sheetId="8" r:id="rId4"/>
    <sheet name="Persediaan Alat Listrik" sheetId="6" r:id="rId5"/>
    <sheet name="Persediaan Kebersihan" sheetId="4" r:id="rId6"/>
  </sheets>
  <definedNames>
    <definedName name="_xlnm.Print_Area" localSheetId="3">'Blangko dan Cetakan'!$A$1:$G$140</definedName>
    <definedName name="_xlnm.Print_Area" localSheetId="2">'Persediaan ATK'!$A$1:$G$632</definedName>
    <definedName name="_xlnm.Print_Area" localSheetId="5">'Persediaan Kebersihan'!$A$1:$G$174</definedName>
    <definedName name="_xlnm.Print_Area" localSheetId="1">'Persediaan Materai'!$A$1:$G$67</definedName>
    <definedName name="_xlnm.Print_Area" localSheetId="0">RekapPersediaan!$A$1:$L$30</definedName>
    <definedName name="_xlnm.Print_Titles" localSheetId="2">'Persediaan ATK'!$1:$4</definedName>
    <definedName name="_xlnm.Print_Titles" localSheetId="5">'Persediaan Kebersihan'!$1:$4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5" i="2" l="1"/>
  <c r="F239" i="2"/>
  <c r="F240" i="2" s="1"/>
  <c r="E14" i="7"/>
  <c r="E13" i="7"/>
  <c r="E11" i="7" l="1"/>
  <c r="D10" i="7"/>
  <c r="F65" i="3"/>
  <c r="F137" i="8"/>
  <c r="F138" i="8" s="1"/>
  <c r="L10" i="7" l="1"/>
  <c r="K20" i="7"/>
  <c r="F168" i="4"/>
  <c r="F169" i="4" s="1"/>
  <c r="F170" i="4" s="1"/>
  <c r="F158" i="4"/>
  <c r="F159" i="4" s="1"/>
  <c r="F160" i="4" s="1"/>
  <c r="F148" i="4"/>
  <c r="F149" i="4" s="1"/>
  <c r="F150" i="4" s="1"/>
  <c r="F138" i="4"/>
  <c r="F139" i="4" s="1"/>
  <c r="F140" i="4" s="1"/>
  <c r="F69" i="4"/>
  <c r="F70" i="4" s="1"/>
  <c r="F71" i="4" s="1"/>
  <c r="F175" i="2" l="1"/>
  <c r="F176" i="2" s="1"/>
  <c r="F177" i="2" s="1"/>
  <c r="F178" i="2" s="1"/>
  <c r="F179" i="2" s="1"/>
  <c r="F180" i="2" s="1"/>
  <c r="F181" i="2" s="1"/>
  <c r="F123" i="2"/>
  <c r="F124" i="2" s="1"/>
  <c r="F125" i="2" s="1"/>
  <c r="F126" i="2" s="1"/>
  <c r="F127" i="2" s="1"/>
  <c r="F128" i="2" s="1"/>
  <c r="F129" i="2" s="1"/>
  <c r="F623" i="2" l="1"/>
  <c r="F605" i="2"/>
  <c r="F594" i="2"/>
  <c r="F584" i="2"/>
  <c r="F568" i="2"/>
  <c r="F556" i="2"/>
  <c r="F542" i="2"/>
  <c r="F532" i="2"/>
  <c r="F519" i="2"/>
  <c r="F507" i="2"/>
  <c r="F491" i="2"/>
  <c r="F470" i="2"/>
  <c r="F460" i="2"/>
  <c r="F449" i="2"/>
  <c r="F437" i="2"/>
  <c r="F427" i="2"/>
  <c r="F413" i="2"/>
  <c r="F401" i="2"/>
  <c r="F390" i="2"/>
  <c r="F381" i="2"/>
  <c r="F372" i="2"/>
  <c r="F356" i="2"/>
  <c r="F316" i="2"/>
  <c r="F307" i="2"/>
  <c r="F298" i="2"/>
  <c r="F287" i="2"/>
  <c r="F247" i="2"/>
  <c r="F212" i="2"/>
  <c r="F201" i="2"/>
  <c r="F188" i="2"/>
  <c r="F164" i="2"/>
  <c r="F149" i="2"/>
  <c r="F102" i="2"/>
  <c r="F75" i="2"/>
  <c r="F66" i="2"/>
  <c r="E12" i="7" l="1"/>
  <c r="J20" i="7" l="1"/>
  <c r="I20" i="7"/>
  <c r="H20" i="7"/>
  <c r="G20" i="7"/>
  <c r="F20" i="7"/>
  <c r="E20" i="7"/>
  <c r="L18" i="7"/>
  <c r="L17" i="7"/>
  <c r="L16" i="7"/>
  <c r="L15" i="7"/>
  <c r="L14" i="7"/>
  <c r="L13" i="7"/>
  <c r="L12" i="7"/>
  <c r="L11" i="7"/>
  <c r="D20" i="7"/>
  <c r="L20" i="7" l="1"/>
  <c r="F260" i="2" l="1"/>
  <c r="F492" i="2" l="1"/>
  <c r="F493" i="2" s="1"/>
  <c r="F494" i="2" s="1"/>
  <c r="F495" i="2" s="1"/>
  <c r="F496" i="2" s="1"/>
  <c r="F497" i="2" s="1"/>
  <c r="F498" i="2" s="1"/>
  <c r="F499" i="2" s="1"/>
  <c r="F500" i="2" s="1"/>
  <c r="F402" i="2" l="1"/>
  <c r="F403" i="2" s="1"/>
  <c r="F404" i="2" s="1"/>
  <c r="F405" i="2" s="1"/>
  <c r="F357" i="2"/>
  <c r="F358" i="2" s="1"/>
  <c r="F359" i="2" s="1"/>
  <c r="F360" i="2" s="1"/>
  <c r="F361" i="2" s="1"/>
  <c r="F288" i="2"/>
  <c r="F289" i="2" s="1"/>
  <c r="F290" i="2" s="1"/>
  <c r="F291" i="2" s="1"/>
  <c r="F362" i="2" l="1"/>
  <c r="F363" i="2" s="1"/>
  <c r="F364" i="2" s="1"/>
  <c r="F520" i="2"/>
  <c r="F521" i="2" s="1"/>
  <c r="F522" i="2" s="1"/>
  <c r="F523" i="2" s="1"/>
  <c r="F524" i="2" s="1"/>
  <c r="F525" i="2" s="1"/>
  <c r="F508" i="2"/>
  <c r="F509" i="2" s="1"/>
  <c r="F510" i="2" s="1"/>
  <c r="F511" i="2" s="1"/>
  <c r="F512" i="2" s="1"/>
  <c r="F308" i="2" l="1"/>
  <c r="F309" i="2" s="1"/>
  <c r="F189" i="2" l="1"/>
  <c r="F190" i="2" s="1"/>
  <c r="F191" i="2" s="1"/>
  <c r="F192" i="2" s="1"/>
  <c r="F193" i="2" s="1"/>
  <c r="F194" i="2" s="1"/>
  <c r="F624" i="2"/>
  <c r="F625" i="2" s="1"/>
  <c r="F626" i="2" s="1"/>
  <c r="F627" i="2" s="1"/>
  <c r="F628" i="2" s="1"/>
  <c r="F629" i="2" s="1"/>
  <c r="F630" i="2" s="1"/>
  <c r="F631" i="2" s="1"/>
  <c r="F414" i="2"/>
  <c r="F415" i="2" s="1"/>
  <c r="F416" i="2" s="1"/>
  <c r="F417" i="2" s="1"/>
  <c r="F418" i="2" s="1"/>
  <c r="F419" i="2" s="1"/>
  <c r="F420" i="2" s="1"/>
  <c r="F343" i="2" l="1"/>
  <c r="F327" i="2"/>
  <c r="F231" i="2"/>
  <c r="F136" i="2"/>
  <c r="F35" i="2"/>
  <c r="F9" i="2"/>
  <c r="F10" i="2" s="1"/>
  <c r="F11" i="2" s="1"/>
  <c r="F12" i="2" s="1"/>
  <c r="F13" i="2" s="1"/>
  <c r="F14" i="2" l="1"/>
  <c r="F15" i="2" s="1"/>
  <c r="F16" i="2" l="1"/>
  <c r="F17" i="2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18" i="2" l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391" i="2"/>
  <c r="F392" i="2" s="1"/>
  <c r="F393" i="2" s="1"/>
  <c r="F394" i="2" s="1"/>
  <c r="F36" i="2" l="1"/>
  <c r="F37" i="2" s="1"/>
  <c r="F38" i="2" s="1"/>
  <c r="F39" i="2" s="1"/>
  <c r="F40" i="2" s="1"/>
  <c r="F41" i="2" s="1"/>
  <c r="F42" i="2" s="1"/>
  <c r="F43" i="2" s="1"/>
  <c r="F44" i="2" s="1"/>
  <c r="F129" i="4" l="1"/>
  <c r="F130" i="4" s="1"/>
  <c r="F119" i="4"/>
  <c r="F120" i="4" s="1"/>
  <c r="F121" i="4" s="1"/>
  <c r="F109" i="4"/>
  <c r="F110" i="4" s="1"/>
  <c r="F111" i="4" s="1"/>
  <c r="F99" i="4"/>
  <c r="F100" i="4" s="1"/>
  <c r="F101" i="4" s="1"/>
  <c r="F89" i="4"/>
  <c r="F90" i="4" s="1"/>
  <c r="F91" i="4" s="1"/>
  <c r="F79" i="4"/>
  <c r="F80" i="4" s="1"/>
  <c r="F81" i="4" s="1"/>
  <c r="F59" i="4"/>
  <c r="F60" i="4" s="1"/>
  <c r="F61" i="4" s="1"/>
  <c r="F49" i="4"/>
  <c r="F50" i="4" s="1"/>
  <c r="F51" i="4" s="1"/>
  <c r="F39" i="4"/>
  <c r="F40" i="4" s="1"/>
  <c r="F41" i="4" s="1"/>
  <c r="F59" i="6"/>
  <c r="F60" i="6" s="1"/>
  <c r="F50" i="6"/>
  <c r="F51" i="6" s="1"/>
  <c r="F19" i="6"/>
  <c r="F20" i="6" s="1"/>
  <c r="F606" i="2" l="1"/>
  <c r="F607" i="2" s="1"/>
  <c r="F608" i="2" s="1"/>
  <c r="F595" i="2"/>
  <c r="F596" i="2" s="1"/>
  <c r="F597" i="2" s="1"/>
  <c r="F598" i="2" s="1"/>
  <c r="F609" i="2" l="1"/>
  <c r="F610" i="2" s="1"/>
  <c r="F611" i="2" s="1"/>
  <c r="F612" i="2" s="1"/>
  <c r="F613" i="2" s="1"/>
  <c r="F614" i="2" s="1"/>
  <c r="F615" i="2" s="1"/>
  <c r="F616" i="2" s="1"/>
  <c r="F317" i="2"/>
  <c r="F318" i="2" s="1"/>
  <c r="F319" i="2" s="1"/>
  <c r="F320" i="2" s="1"/>
  <c r="F299" i="2"/>
  <c r="F300" i="2" s="1"/>
  <c r="F585" i="2" l="1"/>
  <c r="F586" i="2" s="1"/>
  <c r="F587" i="2" s="1"/>
  <c r="F261" i="2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165" i="2" l="1"/>
  <c r="F166" i="2" s="1"/>
  <c r="F167" i="2" s="1"/>
  <c r="F168" i="2" s="1"/>
  <c r="F150" i="2"/>
  <c r="F151" i="2" s="1"/>
  <c r="F152" i="2" s="1"/>
  <c r="F153" i="2" s="1"/>
  <c r="F154" i="2" s="1"/>
  <c r="F155" i="2" s="1"/>
  <c r="F156" i="2" s="1"/>
  <c r="F157" i="2" s="1"/>
  <c r="F137" i="2"/>
  <c r="F138" i="2" s="1"/>
  <c r="F139" i="2" s="1"/>
  <c r="F140" i="2" s="1"/>
  <c r="F141" i="2" s="1"/>
  <c r="F142" i="2" s="1"/>
  <c r="F569" i="2"/>
  <c r="F557" i="2"/>
  <c r="F558" i="2" s="1"/>
  <c r="F559" i="2" s="1"/>
  <c r="F560" i="2" s="1"/>
  <c r="F543" i="2"/>
  <c r="F544" i="2" s="1"/>
  <c r="F545" i="2" s="1"/>
  <c r="F546" i="2" s="1"/>
  <c r="F547" i="2" s="1"/>
  <c r="F548" i="2" s="1"/>
  <c r="F549" i="2" s="1"/>
  <c r="F533" i="2"/>
  <c r="F534" i="2" s="1"/>
  <c r="F535" i="2" s="1"/>
  <c r="F328" i="2"/>
  <c r="F329" i="2" s="1"/>
  <c r="F330" i="2" s="1"/>
  <c r="F331" i="2" s="1"/>
  <c r="F332" i="2" s="1"/>
  <c r="F333" i="2" s="1"/>
  <c r="F334" i="2" s="1"/>
  <c r="F335" i="2" s="1"/>
  <c r="F336" i="2" s="1"/>
  <c r="F202" i="2"/>
  <c r="F203" i="2" s="1"/>
  <c r="F204" i="2" s="1"/>
  <c r="F205" i="2" s="1"/>
  <c r="F450" i="2"/>
  <c r="F451" i="2" s="1"/>
  <c r="F452" i="2" s="1"/>
  <c r="F453" i="2" s="1"/>
  <c r="F471" i="2"/>
  <c r="F570" i="2" l="1"/>
  <c r="F571" i="2" s="1"/>
  <c r="F572" i="2" s="1"/>
  <c r="F573" i="2" s="1"/>
  <c r="F574" i="2" s="1"/>
  <c r="F575" i="2" s="1"/>
  <c r="F576" i="2" s="1"/>
  <c r="F577" i="2" s="1"/>
  <c r="F472" i="2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61" i="2"/>
  <c r="F462" i="2" s="1"/>
  <c r="F463" i="2" s="1"/>
  <c r="F103" i="2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76" i="2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438" i="2"/>
  <c r="F439" i="2" s="1"/>
  <c r="F440" i="2" s="1"/>
  <c r="F441" i="2" s="1"/>
  <c r="F442" i="2" s="1"/>
  <c r="F428" i="2"/>
  <c r="F429" i="2" s="1"/>
  <c r="F232" i="2" l="1"/>
  <c r="F233" i="2" s="1"/>
  <c r="F234" i="2" s="1"/>
  <c r="F235" i="2" s="1"/>
  <c r="F236" i="2" s="1"/>
  <c r="F237" i="2" s="1"/>
  <c r="F238" i="2" s="1"/>
  <c r="F77" i="8" l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0" i="8" l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382" i="2" l="1"/>
  <c r="F383" i="2" s="1"/>
  <c r="F373" i="2"/>
  <c r="F374" i="2" s="1"/>
  <c r="F344" i="2"/>
  <c r="F345" i="2" s="1"/>
  <c r="F346" i="2" s="1"/>
  <c r="F347" i="2" s="1"/>
  <c r="F348" i="2" s="1"/>
  <c r="F349" i="2" s="1"/>
  <c r="F45" i="2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30" i="4" l="1"/>
  <c r="F31" i="4" s="1"/>
  <c r="F20" i="4"/>
  <c r="F21" i="4" s="1"/>
  <c r="F22" i="4" s="1"/>
  <c r="F10" i="4" l="1"/>
  <c r="F11" i="4" s="1"/>
  <c r="F12" i="4" s="1"/>
  <c r="F41" i="6"/>
  <c r="F42" i="6" s="1"/>
  <c r="F10" i="6" l="1"/>
  <c r="F11" i="6" s="1"/>
</calcChain>
</file>

<file path=xl/sharedStrings.xml><?xml version="1.0" encoding="utf-8"?>
<sst xmlns="http://schemas.openxmlformats.org/spreadsheetml/2006/main" count="1687" uniqueCount="166">
  <si>
    <t>No</t>
  </si>
  <si>
    <t>Tanggal</t>
  </si>
  <si>
    <t>Keterangan</t>
  </si>
  <si>
    <t>Dari/Kepada</t>
  </si>
  <si>
    <t>Masuk</t>
  </si>
  <si>
    <t>Keluar</t>
  </si>
  <si>
    <t>Sisa</t>
  </si>
  <si>
    <t>Saldo Awal</t>
  </si>
  <si>
    <t>Nama Barang</t>
  </si>
  <si>
    <t>Satuan</t>
  </si>
  <si>
    <t>: Buah</t>
  </si>
  <si>
    <t>Pemakaian</t>
  </si>
  <si>
    <t>: Rim</t>
  </si>
  <si>
    <t>: Lembar</t>
  </si>
  <si>
    <t>Persediaan Alat Listrik per 31 Desember 2019</t>
  </si>
  <si>
    <t>PERSEDIAAN AKHIR</t>
  </si>
  <si>
    <t>Kode Desa</t>
  </si>
  <si>
    <t>Nama Desa</t>
  </si>
  <si>
    <t>PERSEDIAAN</t>
  </si>
  <si>
    <t>Jumlah</t>
  </si>
  <si>
    <t xml:space="preserve"> Alat Tulis Kantor</t>
  </si>
  <si>
    <t>Blangko dan Barang Cetakan</t>
  </si>
  <si>
    <t xml:space="preserve"> Alat Listrik</t>
  </si>
  <si>
    <t xml:space="preserve"> Bahan / Peralatan Kebersihan</t>
  </si>
  <si>
    <t>JUMLAH</t>
  </si>
  <si>
    <t>Materai</t>
  </si>
  <si>
    <t>Bahan / Material</t>
  </si>
  <si>
    <t>CATATAN :</t>
  </si>
  <si>
    <t>Masing - masing di isi dengan nilai nominal (sisa di masing-masing Sheet di kalikan dengan harga pembelian terakhir)</t>
  </si>
  <si>
    <t>Pemerintah Desa Klego</t>
  </si>
  <si>
    <t>Kecamatan Klego Kabupaten Boyolali</t>
  </si>
  <si>
    <t>: FOTOCOPY</t>
  </si>
  <si>
    <t>PEMERINTAH DESA KLEGO</t>
  </si>
  <si>
    <t>: Kertas HVS 70 G WARNA</t>
  </si>
  <si>
    <t>: KABEL ETERNA</t>
  </si>
  <si>
    <t>: Roll</t>
  </si>
  <si>
    <t>: STOP KONTAK ISI 4 LUBANG</t>
  </si>
  <si>
    <t>Makan Minum</t>
  </si>
  <si>
    <t>: JILID</t>
  </si>
  <si>
    <t>Kepala Desa Klego</t>
  </si>
  <si>
    <t>GUNTUR HERU SUPRAPTO, S.Pd</t>
  </si>
  <si>
    <t>Persediaan Lain-Lain</t>
  </si>
  <si>
    <t>Operasional Kantor</t>
  </si>
  <si>
    <t>: TINTA PRINTER EPSON 664 BLACK</t>
  </si>
  <si>
    <t>: Botol</t>
  </si>
  <si>
    <t>: DUS</t>
  </si>
  <si>
    <t>: LEM KERTAS</t>
  </si>
  <si>
    <t>: BUAH</t>
  </si>
  <si>
    <t>: KESET</t>
  </si>
  <si>
    <t>: Materai 10.000</t>
  </si>
  <si>
    <t xml:space="preserve">Operasional Kantor </t>
  </si>
  <si>
    <t>: TINTA PRINTER EPSON 664 WARNA (CYAN, MAGENTA, YELLOW)</t>
  </si>
  <si>
    <t>: STOPMAP KERTAS</t>
  </si>
  <si>
    <t>: PACK</t>
  </si>
  <si>
    <t>: MAP BENIK</t>
  </si>
  <si>
    <t>: KERTAS FOTO</t>
  </si>
  <si>
    <t>: BUKU</t>
  </si>
  <si>
    <t>: KERTAS SAMPUL (BC)</t>
  </si>
  <si>
    <t>: CUTTER</t>
  </si>
  <si>
    <t>: KALKULATOR CITIZEN</t>
  </si>
  <si>
    <t>: ISI CUTTER</t>
  </si>
  <si>
    <t>: SET</t>
  </si>
  <si>
    <t>: PAPER CLIP BESAR</t>
  </si>
  <si>
    <t>: PAPER CLIP KECIL</t>
  </si>
  <si>
    <t>: AMPLOP BESAR</t>
  </si>
  <si>
    <t>: AMPLOP TANGGUNG</t>
  </si>
  <si>
    <t>: AMPLOP KECIL</t>
  </si>
  <si>
    <t>: PENGGARIS</t>
  </si>
  <si>
    <t>: BINDER CLIP NO. 107</t>
  </si>
  <si>
    <t>: BINDER CLIP NO. 111</t>
  </si>
  <si>
    <t>: BINDER CLIP NO. 155</t>
  </si>
  <si>
    <t>: ISOLASI BENING</t>
  </si>
  <si>
    <t>: ROLL</t>
  </si>
  <si>
    <t>: PENSIL 2B</t>
  </si>
  <si>
    <t>: PENGHAPUS STAEDTLER</t>
  </si>
  <si>
    <t>: TIPE X</t>
  </si>
  <si>
    <t>: BLOK NOTE</t>
  </si>
  <si>
    <t>: GUNTING BESAR</t>
  </si>
  <si>
    <t>: Bohlam 35 Watt</t>
  </si>
  <si>
    <t>: Bohlam 45 Watt</t>
  </si>
  <si>
    <t>: ISOLASI</t>
  </si>
  <si>
    <t>: VITTING</t>
  </si>
  <si>
    <t>: SAPU LIDI</t>
  </si>
  <si>
    <t>: BIJI</t>
  </si>
  <si>
    <t>: SAPU IJUK</t>
  </si>
  <si>
    <t>: PEL</t>
  </si>
  <si>
    <t>: TEMPAT SAMPAH PLASTIK</t>
  </si>
  <si>
    <t>: EKRAK PLASTIK</t>
  </si>
  <si>
    <t>: TISSUE</t>
  </si>
  <si>
    <t>: PEWANGI RUANGAN</t>
  </si>
  <si>
    <t>: PEMBERSIH LANTAI</t>
  </si>
  <si>
    <t>: EMBER PLASTIK</t>
  </si>
  <si>
    <t>: KEMOCENG</t>
  </si>
  <si>
    <t>Klego</t>
  </si>
  <si>
    <t>Operasional BPD</t>
  </si>
  <si>
    <t>: Kertas HVS A4 70 gram</t>
  </si>
  <si>
    <t>: Kertas HVS F4 70 gram</t>
  </si>
  <si>
    <t>KPRI Mukti Kec. Klego</t>
  </si>
  <si>
    <t>: STABILO</t>
  </si>
  <si>
    <t>: FLASH DISK</t>
  </si>
  <si>
    <t>ROLL</t>
  </si>
  <si>
    <t>: RAUTAN PENSIL</t>
  </si>
  <si>
    <t>: STAM PAD</t>
  </si>
  <si>
    <t>: TINTA STAM PAD</t>
  </si>
  <si>
    <t>Materai 10.000</t>
  </si>
  <si>
    <t>Kertas HVS A4 70 gram</t>
  </si>
  <si>
    <t>Tinta Printer Epson (Black)</t>
  </si>
  <si>
    <t>Tinta Printer Epson (Cyan)</t>
  </si>
  <si>
    <t>Kertas HVS F4 70 gram</t>
  </si>
  <si>
    <t xml:space="preserve">Pemakaian </t>
  </si>
  <si>
    <t>: Biji</t>
  </si>
  <si>
    <t>: BOTOL</t>
  </si>
  <si>
    <t>: SPIDOL BESAR</t>
  </si>
  <si>
    <t>: LAKBAN KECIL</t>
  </si>
  <si>
    <t>: LAKBAN BESAR</t>
  </si>
  <si>
    <t>: BINDER CLIP NO. 105</t>
  </si>
  <si>
    <t>: BINDER CLIP NO. 200</t>
  </si>
  <si>
    <t>: BINDER CLIP BESAR</t>
  </si>
  <si>
    <t>WM dan Kelontong "JT"</t>
  </si>
  <si>
    <t xml:space="preserve">Alat Kebersihan Kantor </t>
  </si>
  <si>
    <t>: LAP MAKAN</t>
  </si>
  <si>
    <t>: KAPUR BARUS TOILET</t>
  </si>
  <si>
    <t>: PEMBERSIH PORSELEN</t>
  </si>
  <si>
    <t>: GAYUNG</t>
  </si>
  <si>
    <t>: SIKAT WC</t>
  </si>
  <si>
    <t>Persediaan Materai per 31 Desember 2025</t>
  </si>
  <si>
    <t>Persediaan Alat Tulis Kantor per 31 Desember 2025</t>
  </si>
  <si>
    <t>Persediaan Blangko dan Barang Cetakan per 31 Desember 2025</t>
  </si>
  <si>
    <t>Aspal Jalan Dk. Ngembat</t>
  </si>
  <si>
    <t>Aspal Jalan Dk. Karanganyar RT 09 dan RT 10</t>
  </si>
  <si>
    <t>: ISI STAPLER (HAND MACHINE)</t>
  </si>
  <si>
    <t>: STAPLER (HAND MACHINE)</t>
  </si>
  <si>
    <t>: BOLPOINT</t>
  </si>
  <si>
    <t>: SPIDOL KECIL (WARNA)</t>
  </si>
  <si>
    <t>Sumur Bor Pertanian Dk. Ngembat RT 12</t>
  </si>
  <si>
    <t>Aspal Jalan Dk. Kedokan RT 18 dan RT 20</t>
  </si>
  <si>
    <t>Aspal Jalan Dk. Klego RT 04</t>
  </si>
  <si>
    <t>RAYNAR Fotocopy</t>
  </si>
  <si>
    <t>Persediaan Alat dan Bahan Pembersih per 31 Desember 2025</t>
  </si>
  <si>
    <t>: SABUN CUCI PIRING</t>
  </si>
  <si>
    <t>ATK Musrenbangdes</t>
  </si>
  <si>
    <t>Musrenbangdes</t>
  </si>
  <si>
    <t>Rabat Beton Jalan Dk. Klego RT 01</t>
  </si>
  <si>
    <t>Musdesus KDMP</t>
  </si>
  <si>
    <t>Talud JUT Dk. Ngembat RT 12</t>
  </si>
  <si>
    <t>Talud JUT Dk. Ngembat RT 12 (kedua)</t>
  </si>
  <si>
    <t>Rabat Beton Jalam Makam Dk. Ngembat</t>
  </si>
  <si>
    <t>Aspal Jalan Dk. Karanganyar RT 10</t>
  </si>
  <si>
    <t>Rabat Beton JUT Dk. Ngembat RT 12</t>
  </si>
  <si>
    <t>Aspal Jalan Dk. Kedokan RT 15</t>
  </si>
  <si>
    <t>Rabat Beton Dk. Ngembat RT 14</t>
  </si>
  <si>
    <t xml:space="preserve">Operasional BPD </t>
  </si>
  <si>
    <t xml:space="preserve">: BUKU FOLIO </t>
  </si>
  <si>
    <t>Rabat Beton Jalan Dk. Kedokan RT 16</t>
  </si>
  <si>
    <t>Talud Jalan Dk. Keodkan RT 16</t>
  </si>
  <si>
    <t>Rabat Beton Dk. Kedokan RT 19</t>
  </si>
  <si>
    <t>Rabat Beton JUT Dk. Kedokan RT 21 - Klepu</t>
  </si>
  <si>
    <t>Talud Jalan JUT Dk. Kedokan RT 21</t>
  </si>
  <si>
    <t>Operasional Pembinaan PKK</t>
  </si>
  <si>
    <t>Talud Jalan Dk. Klego RT 05</t>
  </si>
  <si>
    <t>Pembangunan Atap Gedung Ruang Kelas TK Pertiwi</t>
  </si>
  <si>
    <t>Pembuatan Dapur TK Pertiwi</t>
  </si>
  <si>
    <t>Drainase Jalan Dk. Ngembat RT 14</t>
  </si>
  <si>
    <t>PER 31 DESEMBER 2025</t>
  </si>
  <si>
    <t xml:space="preserve"> Klego, 31 Desember 2025</t>
  </si>
  <si>
    <t>Persediaan Alat Listrik per 31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</si>
</sst>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_-* #,##0.00_-;\-* #,##0.00_-;_-* &quot;-&quot;??_-;_-@_-"/>
    <numFmt numFmtId="165" formatCode="dd/mm/yyyy;@"/>
    <numFmt numFmtId="166" formatCode="#,##0;[Red]#,##0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sz val="11"/>
      <color indexed="8"/>
      <name val="Cambria"/>
      <family val="1"/>
    </font>
    <font>
      <sz val="11"/>
      <color indexed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>
      <alignment vertical="top"/>
    </xf>
    <xf numFmtId="41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1" fillId="0" borderId="0"/>
  </cellStyleXfs>
  <cellXfs count="107">
    <xf numFmtId="0" fontId="0" fillId="0" borderId="0" xfId="0"/>
    <xf numFmtId="41" fontId="3" fillId="0" borderId="0" xfId="1" applyFont="1"/>
    <xf numFmtId="41" fontId="3" fillId="0" borderId="0" xfId="1" applyFont="1" applyAlignment="1">
      <alignment horizontal="center"/>
    </xf>
    <xf numFmtId="41" fontId="3" fillId="0" borderId="0" xfId="1" applyFont="1" applyAlignment="1">
      <alignment horizontal="left"/>
    </xf>
    <xf numFmtId="41" fontId="4" fillId="0" borderId="1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41" fontId="4" fillId="0" borderId="0" xfId="1" applyFont="1" applyAlignment="1">
      <alignment horizontal="center"/>
    </xf>
    <xf numFmtId="41" fontId="4" fillId="0" borderId="5" xfId="1" applyFont="1" applyBorder="1" applyAlignment="1">
      <alignment horizontal="center"/>
    </xf>
    <xf numFmtId="165" fontId="4" fillId="0" borderId="5" xfId="1" applyNumberFormat="1" applyFont="1" applyBorder="1" applyAlignment="1">
      <alignment horizontal="left"/>
    </xf>
    <xf numFmtId="41" fontId="4" fillId="0" borderId="5" xfId="1" applyFont="1" applyBorder="1" applyAlignment="1">
      <alignment horizontal="left" vertical="top"/>
    </xf>
    <xf numFmtId="166" fontId="4" fillId="0" borderId="5" xfId="1" applyNumberFormat="1" applyFont="1" applyBorder="1" applyAlignment="1">
      <alignment horizontal="center"/>
    </xf>
    <xf numFmtId="41" fontId="4" fillId="0" borderId="2" xfId="1" applyFont="1" applyBorder="1"/>
    <xf numFmtId="165" fontId="4" fillId="0" borderId="2" xfId="1" applyNumberFormat="1" applyFont="1" applyBorder="1" applyAlignment="1">
      <alignment horizontal="left"/>
    </xf>
    <xf numFmtId="41" fontId="4" fillId="0" borderId="2" xfId="1" applyFont="1" applyBorder="1" applyAlignment="1">
      <alignment horizontal="left" vertical="top"/>
    </xf>
    <xf numFmtId="41" fontId="4" fillId="0" borderId="0" xfId="1" applyFont="1"/>
    <xf numFmtId="41" fontId="4" fillId="0" borderId="3" xfId="1" applyFont="1" applyBorder="1"/>
    <xf numFmtId="165" fontId="4" fillId="0" borderId="3" xfId="1" applyNumberFormat="1" applyFont="1" applyBorder="1"/>
    <xf numFmtId="41" fontId="4" fillId="0" borderId="3" xfId="1" applyFont="1" applyBorder="1" applyAlignment="1">
      <alignment horizontal="left" vertical="top"/>
    </xf>
    <xf numFmtId="166" fontId="4" fillId="0" borderId="3" xfId="1" applyNumberFormat="1" applyFont="1" applyBorder="1"/>
    <xf numFmtId="166" fontId="4" fillId="0" borderId="3" xfId="1" applyNumberFormat="1" applyFont="1" applyBorder="1" applyAlignment="1">
      <alignment horizontal="right"/>
    </xf>
    <xf numFmtId="165" fontId="4" fillId="0" borderId="0" xfId="1" applyNumberFormat="1" applyFont="1"/>
    <xf numFmtId="0" fontId="5" fillId="0" borderId="0" xfId="0" applyFont="1" applyAlignment="1">
      <alignment horizontal="center"/>
    </xf>
    <xf numFmtId="0" fontId="4" fillId="0" borderId="0" xfId="0" applyFont="1"/>
    <xf numFmtId="0" fontId="7" fillId="0" borderId="1" xfId="3" applyFont="1" applyBorder="1" applyAlignment="1">
      <alignment horizontal="center" vertical="center"/>
    </xf>
    <xf numFmtId="41" fontId="8" fillId="0" borderId="1" xfId="4" applyFont="1" applyFill="1" applyBorder="1" applyAlignment="1">
      <alignment horizontal="center" vertical="center" wrapText="1" readingOrder="1"/>
    </xf>
    <xf numFmtId="0" fontId="8" fillId="0" borderId="1" xfId="5" applyFont="1" applyBorder="1" applyAlignment="1">
      <alignment horizontal="center" vertical="center" wrapText="1" readingOrder="1"/>
    </xf>
    <xf numFmtId="0" fontId="4" fillId="0" borderId="1" xfId="5" applyFont="1" applyBorder="1" applyAlignment="1">
      <alignment horizontal="left" vertical="top"/>
    </xf>
    <xf numFmtId="0" fontId="4" fillId="0" borderId="1" xfId="6" applyFont="1" applyBorder="1" applyAlignment="1">
      <alignment horizontal="left" vertical="top"/>
    </xf>
    <xf numFmtId="164" fontId="4" fillId="0" borderId="1" xfId="2" applyFont="1" applyFill="1" applyBorder="1"/>
    <xf numFmtId="3" fontId="4" fillId="0" borderId="0" xfId="0" applyNumberFormat="1" applyFont="1"/>
    <xf numFmtId="1" fontId="4" fillId="0" borderId="1" xfId="5" applyNumberFormat="1" applyFont="1" applyBorder="1" applyAlignment="1">
      <alignment horizontal="left" vertical="top"/>
    </xf>
    <xf numFmtId="1" fontId="4" fillId="0" borderId="1" xfId="6" applyNumberFormat="1" applyFont="1" applyBorder="1" applyAlignment="1">
      <alignment horizontal="left" vertical="top"/>
    </xf>
    <xf numFmtId="0" fontId="6" fillId="0" borderId="4" xfId="7" applyFont="1" applyBorder="1"/>
    <xf numFmtId="0" fontId="6" fillId="0" borderId="4" xfId="7" applyFont="1" applyBorder="1" applyAlignment="1">
      <alignment horizontal="center"/>
    </xf>
    <xf numFmtId="164" fontId="7" fillId="0" borderId="1" xfId="2" applyFont="1" applyFill="1" applyBorder="1"/>
    <xf numFmtId="0" fontId="7" fillId="0" borderId="0" xfId="0" applyFont="1"/>
    <xf numFmtId="165" fontId="4" fillId="0" borderId="2" xfId="1" applyNumberFormat="1" applyFont="1" applyFill="1" applyBorder="1" applyAlignment="1">
      <alignment horizontal="left"/>
    </xf>
    <xf numFmtId="165" fontId="4" fillId="0" borderId="3" xfId="1" applyNumberFormat="1" applyFont="1" applyBorder="1" applyAlignment="1">
      <alignment horizontal="left"/>
    </xf>
    <xf numFmtId="41" fontId="4" fillId="0" borderId="0" xfId="1" applyFont="1" applyBorder="1"/>
    <xf numFmtId="41" fontId="4" fillId="0" borderId="0" xfId="1" applyFont="1" applyBorder="1" applyAlignment="1">
      <alignment horizontal="left" vertical="top"/>
    </xf>
    <xf numFmtId="166" fontId="4" fillId="0" borderId="0" xfId="1" applyNumberFormat="1" applyFont="1" applyBorder="1"/>
    <xf numFmtId="166" fontId="4" fillId="0" borderId="0" xfId="1" applyNumberFormat="1" applyFont="1" applyBorder="1" applyAlignment="1">
      <alignment horizontal="right"/>
    </xf>
    <xf numFmtId="165" fontId="4" fillId="0" borderId="0" xfId="1" applyNumberFormat="1" applyFont="1" applyBorder="1"/>
    <xf numFmtId="165" fontId="4" fillId="0" borderId="7" xfId="1" applyNumberFormat="1" applyFont="1" applyFill="1" applyBorder="1" applyAlignment="1">
      <alignment horizontal="left"/>
    </xf>
    <xf numFmtId="165" fontId="4" fillId="0" borderId="3" xfId="1" applyNumberFormat="1" applyFont="1" applyFill="1" applyBorder="1"/>
    <xf numFmtId="165" fontId="4" fillId="0" borderId="5" xfId="1" applyNumberFormat="1" applyFont="1" applyFill="1" applyBorder="1" applyAlignment="1">
      <alignment horizontal="left"/>
    </xf>
    <xf numFmtId="41" fontId="4" fillId="0" borderId="5" xfId="1" applyFont="1" applyFill="1" applyBorder="1" applyAlignment="1">
      <alignment horizontal="left" vertical="top"/>
    </xf>
    <xf numFmtId="166" fontId="4" fillId="0" borderId="5" xfId="1" applyNumberFormat="1" applyFont="1" applyFill="1" applyBorder="1" applyAlignment="1">
      <alignment horizontal="center"/>
    </xf>
    <xf numFmtId="41" fontId="4" fillId="0" borderId="2" xfId="1" applyFont="1" applyFill="1" applyBorder="1" applyAlignment="1">
      <alignment horizontal="left" vertical="top"/>
    </xf>
    <xf numFmtId="166" fontId="4" fillId="0" borderId="2" xfId="1" applyNumberFormat="1" applyFont="1" applyBorder="1" applyAlignment="1">
      <alignment horizontal="center"/>
    </xf>
    <xf numFmtId="166" fontId="4" fillId="0" borderId="2" xfId="1" applyNumberFormat="1" applyFont="1" applyFill="1" applyBorder="1" applyAlignment="1">
      <alignment horizontal="center"/>
    </xf>
    <xf numFmtId="166" fontId="4" fillId="0" borderId="5" xfId="1" applyNumberFormat="1" applyFont="1" applyFill="1" applyBorder="1" applyAlignment="1">
      <alignment horizontal="center" vertical="center"/>
    </xf>
    <xf numFmtId="166" fontId="4" fillId="0" borderId="7" xfId="1" applyNumberFormat="1" applyFont="1" applyFill="1" applyBorder="1" applyAlignment="1">
      <alignment horizontal="center"/>
    </xf>
    <xf numFmtId="166" fontId="4" fillId="0" borderId="2" xfId="1" applyNumberFormat="1" applyFont="1" applyFill="1" applyBorder="1" applyAlignment="1">
      <alignment horizontal="center" vertical="center"/>
    </xf>
    <xf numFmtId="166" fontId="4" fillId="0" borderId="7" xfId="1" applyNumberFormat="1" applyFont="1" applyFill="1" applyBorder="1" applyAlignment="1">
      <alignment horizontal="center" vertical="center"/>
    </xf>
    <xf numFmtId="41" fontId="4" fillId="0" borderId="7" xfId="1" applyFont="1" applyFill="1" applyBorder="1" applyAlignment="1">
      <alignment horizontal="left" vertical="top"/>
    </xf>
    <xf numFmtId="41" fontId="4" fillId="0" borderId="5" xfId="1" applyFont="1" applyFill="1" applyBorder="1" applyAlignment="1">
      <alignment horizontal="center"/>
    </xf>
    <xf numFmtId="41" fontId="4" fillId="0" borderId="2" xfId="1" applyFont="1" applyFill="1" applyBorder="1"/>
    <xf numFmtId="41" fontId="4" fillId="0" borderId="3" xfId="1" applyFont="1" applyFill="1" applyBorder="1"/>
    <xf numFmtId="41" fontId="4" fillId="0" borderId="3" xfId="1" applyFont="1" applyFill="1" applyBorder="1" applyAlignment="1">
      <alignment horizontal="left" vertical="top"/>
    </xf>
    <xf numFmtId="166" fontId="4" fillId="0" borderId="3" xfId="1" applyNumberFormat="1" applyFont="1" applyFill="1" applyBorder="1" applyAlignment="1">
      <alignment horizontal="center"/>
    </xf>
    <xf numFmtId="166" fontId="4" fillId="0" borderId="3" xfId="1" applyNumberFormat="1" applyFont="1" applyFill="1" applyBorder="1" applyAlignment="1">
      <alignment horizontal="right"/>
    </xf>
    <xf numFmtId="41" fontId="4" fillId="0" borderId="0" xfId="1" applyFont="1" applyFill="1"/>
    <xf numFmtId="165" fontId="4" fillId="0" borderId="0" xfId="1" applyNumberFormat="1" applyFont="1" applyFill="1"/>
    <xf numFmtId="41" fontId="3" fillId="0" borderId="0" xfId="1" applyFont="1" applyFill="1" applyAlignment="1">
      <alignment horizontal="left"/>
    </xf>
    <xf numFmtId="41" fontId="3" fillId="0" borderId="0" xfId="1" applyFont="1" applyFill="1" applyAlignment="1">
      <alignment horizontal="center"/>
    </xf>
    <xf numFmtId="41" fontId="4" fillId="0" borderId="1" xfId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41" fontId="4" fillId="0" borderId="5" xfId="1" applyFont="1" applyFill="1" applyBorder="1" applyAlignment="1">
      <alignment horizontal="left"/>
    </xf>
    <xf numFmtId="41" fontId="4" fillId="0" borderId="2" xfId="1" applyFont="1" applyFill="1" applyBorder="1" applyAlignment="1">
      <alignment horizontal="left"/>
    </xf>
    <xf numFmtId="41" fontId="3" fillId="0" borderId="0" xfId="1" applyFont="1" applyFill="1"/>
    <xf numFmtId="41" fontId="4" fillId="0" borderId="0" xfId="1" applyFont="1" applyFill="1" applyAlignment="1">
      <alignment horizontal="center"/>
    </xf>
    <xf numFmtId="166" fontId="4" fillId="0" borderId="3" xfId="1" applyNumberFormat="1" applyFont="1" applyFill="1" applyBorder="1"/>
    <xf numFmtId="165" fontId="4" fillId="0" borderId="2" xfId="1" applyNumberFormat="1" applyFont="1" applyFill="1" applyBorder="1"/>
    <xf numFmtId="41" fontId="4" fillId="0" borderId="7" xfId="1" applyFont="1" applyFill="1" applyBorder="1"/>
    <xf numFmtId="165" fontId="4" fillId="0" borderId="5" xfId="1" applyNumberFormat="1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left"/>
    </xf>
    <xf numFmtId="41" fontId="4" fillId="0" borderId="0" xfId="1" applyFont="1" applyFill="1" applyBorder="1"/>
    <xf numFmtId="165" fontId="4" fillId="0" borderId="0" xfId="1" applyNumberFormat="1" applyFont="1" applyFill="1" applyBorder="1" applyAlignment="1">
      <alignment horizontal="left"/>
    </xf>
    <xf numFmtId="41" fontId="4" fillId="0" borderId="0" xfId="1" applyFont="1" applyFill="1" applyBorder="1" applyAlignment="1">
      <alignment horizontal="left" vertical="top"/>
    </xf>
    <xf numFmtId="166" fontId="4" fillId="0" borderId="0" xfId="1" applyNumberFormat="1" applyFont="1" applyFill="1" applyBorder="1"/>
    <xf numFmtId="166" fontId="4" fillId="0" borderId="0" xfId="1" applyNumberFormat="1" applyFont="1" applyFill="1" applyBorder="1" applyAlignment="1">
      <alignment horizontal="right"/>
    </xf>
    <xf numFmtId="165" fontId="4" fillId="0" borderId="0" xfId="1" applyNumberFormat="1" applyFont="1" applyFill="1" applyBorder="1"/>
    <xf numFmtId="41" fontId="4" fillId="0" borderId="3" xfId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2" xfId="1" applyNumberFormat="1" applyFont="1" applyFill="1" applyBorder="1" applyAlignment="1">
      <alignment horizontal="center"/>
    </xf>
    <xf numFmtId="41" fontId="4" fillId="0" borderId="7" xfId="1" applyFont="1" applyFill="1" applyBorder="1" applyAlignment="1">
      <alignment horizontal="left"/>
    </xf>
    <xf numFmtId="165" fontId="4" fillId="0" borderId="7" xfId="1" applyNumberFormat="1" applyFont="1" applyBorder="1" applyAlignment="1">
      <alignment horizontal="left"/>
    </xf>
    <xf numFmtId="41" fontId="4" fillId="0" borderId="11" xfId="1" applyFont="1" applyBorder="1" applyAlignment="1">
      <alignment horizontal="center"/>
    </xf>
    <xf numFmtId="166" fontId="4" fillId="0" borderId="7" xfId="1" applyNumberFormat="1" applyFont="1" applyBorder="1" applyAlignment="1">
      <alignment horizontal="center"/>
    </xf>
    <xf numFmtId="0" fontId="5" fillId="0" borderId="0" xfId="3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1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41" fontId="7" fillId="0" borderId="8" xfId="4" applyFont="1" applyFill="1" applyBorder="1" applyAlignment="1">
      <alignment horizontal="center"/>
    </xf>
    <xf numFmtId="41" fontId="7" fillId="0" borderId="9" xfId="4" applyFont="1" applyFill="1" applyBorder="1" applyAlignment="1">
      <alignment horizontal="center"/>
    </xf>
    <xf numFmtId="41" fontId="7" fillId="0" borderId="10" xfId="4" applyFont="1" applyFill="1" applyBorder="1" applyAlignment="1">
      <alignment horizontal="center"/>
    </xf>
    <xf numFmtId="0" fontId="8" fillId="0" borderId="6" xfId="3" applyFont="1" applyBorder="1" applyAlignment="1">
      <alignment horizontal="center" vertical="center" readingOrder="1"/>
    </xf>
    <xf numFmtId="0" fontId="8" fillId="0" borderId="4" xfId="3" applyFont="1" applyBorder="1" applyAlignment="1">
      <alignment horizontal="center" vertical="center" readingOrder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3" applyFont="1" applyAlignment="1">
      <alignment horizontal="center" vertical="top"/>
    </xf>
    <xf numFmtId="41" fontId="3" fillId="0" borderId="0" xfId="1" applyFont="1" applyAlignment="1">
      <alignment horizontal="center"/>
    </xf>
    <xf numFmtId="41" fontId="3" fillId="0" borderId="0" xfId="1" applyFont="1" applyFill="1" applyAlignment="1">
      <alignment horizontal="center"/>
    </xf>
  </cellXfs>
  <cellStyles count="8">
    <cellStyle name="Comma" xfId="2" builtinId="3"/>
    <cellStyle name="Comma [0]" xfId="1" builtinId="6"/>
    <cellStyle name="Comma [0] 2 20" xfId="4"/>
    <cellStyle name="Normal" xfId="0" builtinId="0"/>
    <cellStyle name="Normal 2 2" xfId="3"/>
    <cellStyle name="Normal 2 21" xfId="7"/>
    <cellStyle name="Normal 3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28"/>
  <sheetViews>
    <sheetView tabSelected="1" view="pageBreakPreview" topLeftCell="A7" zoomScaleNormal="100" zoomScaleSheetLayoutView="100" workbookViewId="0">
      <selection activeCell="C12" sqref="C12"/>
    </sheetView>
  </sheetViews>
  <sheetFormatPr defaultColWidth="9.140625" defaultRowHeight="14.25" x14ac:dyDescent="0.2"/>
  <cols>
    <col min="1" max="1" width="8.42578125" style="22" customWidth="1"/>
    <col min="2" max="2" width="7.5703125" style="22" customWidth="1"/>
    <col min="3" max="3" width="26.28515625" style="22" bestFit="1" customWidth="1"/>
    <col min="4" max="7" width="14.28515625" style="22" customWidth="1"/>
    <col min="8" max="8" width="10.5703125" style="22" hidden="1" customWidth="1"/>
    <col min="9" max="9" width="14.28515625" style="22" customWidth="1"/>
    <col min="10" max="11" width="10.5703125" style="22" hidden="1" customWidth="1"/>
    <col min="12" max="12" width="14.28515625" style="22" customWidth="1"/>
    <col min="13" max="14" width="9.140625" style="22"/>
    <col min="15" max="15" width="16.85546875" style="22" bestFit="1" customWidth="1"/>
    <col min="16" max="16384" width="9.140625" style="22"/>
  </cols>
  <sheetData>
    <row r="1" spans="1:13" x14ac:dyDescent="0.2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2" spans="1:13" x14ac:dyDescent="0.2">
      <c r="A2" s="102" t="s">
        <v>32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3" spans="1:13" x14ac:dyDescent="0.2">
      <c r="A3" s="102" t="s">
        <v>15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13" x14ac:dyDescent="0.2">
      <c r="A4" s="103" t="s">
        <v>163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3" x14ac:dyDescent="0.2">
      <c r="A5" s="35" t="s">
        <v>27</v>
      </c>
    </row>
    <row r="6" spans="1:13" x14ac:dyDescent="0.2">
      <c r="A6" s="22" t="s">
        <v>28</v>
      </c>
    </row>
    <row r="8" spans="1:13" x14ac:dyDescent="0.2">
      <c r="A8" s="93" t="s">
        <v>16</v>
      </c>
      <c r="B8" s="94" t="s">
        <v>17</v>
      </c>
      <c r="C8" s="96" t="s">
        <v>18</v>
      </c>
      <c r="D8" s="97"/>
      <c r="E8" s="97"/>
      <c r="F8" s="97"/>
      <c r="G8" s="97"/>
      <c r="H8" s="97"/>
      <c r="I8" s="97"/>
      <c r="J8" s="97"/>
      <c r="K8" s="98"/>
      <c r="L8" s="99" t="s">
        <v>19</v>
      </c>
    </row>
    <row r="9" spans="1:13" ht="42.75" x14ac:dyDescent="0.2">
      <c r="A9" s="93"/>
      <c r="B9" s="95"/>
      <c r="C9" s="23" t="s">
        <v>8</v>
      </c>
      <c r="D9" s="24" t="s">
        <v>25</v>
      </c>
      <c r="E9" s="24" t="s">
        <v>20</v>
      </c>
      <c r="F9" s="24" t="s">
        <v>21</v>
      </c>
      <c r="G9" s="25" t="s">
        <v>22</v>
      </c>
      <c r="H9" s="25" t="s">
        <v>26</v>
      </c>
      <c r="I9" s="25" t="s">
        <v>23</v>
      </c>
      <c r="J9" s="25" t="s">
        <v>41</v>
      </c>
      <c r="K9" s="25" t="s">
        <v>37</v>
      </c>
      <c r="L9" s="100"/>
    </row>
    <row r="10" spans="1:13" x14ac:dyDescent="0.2">
      <c r="A10" s="26">
        <v>2009</v>
      </c>
      <c r="B10" s="27" t="s">
        <v>93</v>
      </c>
      <c r="C10" s="27" t="s">
        <v>104</v>
      </c>
      <c r="D10" s="28">
        <f>6*10000</f>
        <v>60000</v>
      </c>
      <c r="E10" s="28"/>
      <c r="F10" s="28"/>
      <c r="G10" s="28"/>
      <c r="H10" s="28"/>
      <c r="I10" s="28"/>
      <c r="J10" s="28"/>
      <c r="K10" s="28"/>
      <c r="L10" s="28">
        <f>SUM(D10:K10)</f>
        <v>60000</v>
      </c>
      <c r="M10" s="29">
        <v>10000</v>
      </c>
    </row>
    <row r="11" spans="1:13" x14ac:dyDescent="0.2">
      <c r="A11" s="30"/>
      <c r="B11" s="31"/>
      <c r="C11" s="31" t="s">
        <v>105</v>
      </c>
      <c r="D11" s="28"/>
      <c r="E11" s="28">
        <f>6*65000</f>
        <v>390000</v>
      </c>
      <c r="F11" s="28"/>
      <c r="G11" s="28"/>
      <c r="H11" s="28"/>
      <c r="I11" s="28"/>
      <c r="J11" s="28"/>
      <c r="K11" s="28"/>
      <c r="L11" s="28">
        <f t="shared" ref="L11:L18" si="0">SUM(D11:K11)</f>
        <v>390000</v>
      </c>
      <c r="M11" s="22">
        <v>65000</v>
      </c>
    </row>
    <row r="12" spans="1:13" x14ac:dyDescent="0.2">
      <c r="A12" s="30"/>
      <c r="B12" s="31"/>
      <c r="C12" s="31" t="s">
        <v>108</v>
      </c>
      <c r="D12" s="28"/>
      <c r="E12" s="28">
        <f>2*70000</f>
        <v>140000</v>
      </c>
      <c r="F12" s="28"/>
      <c r="G12" s="28"/>
      <c r="H12" s="28"/>
      <c r="I12" s="28"/>
      <c r="J12" s="28"/>
      <c r="K12" s="28"/>
      <c r="L12" s="28">
        <f t="shared" si="0"/>
        <v>140000</v>
      </c>
      <c r="M12" s="22">
        <v>70000</v>
      </c>
    </row>
    <row r="13" spans="1:13" x14ac:dyDescent="0.2">
      <c r="A13" s="30"/>
      <c r="B13" s="31"/>
      <c r="C13" s="31" t="s">
        <v>106</v>
      </c>
      <c r="D13" s="28"/>
      <c r="E13" s="28">
        <f>2*125000</f>
        <v>250000</v>
      </c>
      <c r="F13" s="28"/>
      <c r="G13" s="28"/>
      <c r="H13" s="28"/>
      <c r="I13" s="28"/>
      <c r="J13" s="28"/>
      <c r="K13" s="28"/>
      <c r="L13" s="28">
        <f t="shared" si="0"/>
        <v>250000</v>
      </c>
    </row>
    <row r="14" spans="1:13" x14ac:dyDescent="0.2">
      <c r="A14" s="30"/>
      <c r="B14" s="31"/>
      <c r="C14" s="31" t="s">
        <v>107</v>
      </c>
      <c r="D14" s="28"/>
      <c r="E14" s="28">
        <f>1*125000</f>
        <v>125000</v>
      </c>
      <c r="F14" s="28"/>
      <c r="G14" s="28"/>
      <c r="H14" s="28"/>
      <c r="I14" s="28"/>
      <c r="J14" s="28"/>
      <c r="K14" s="28"/>
      <c r="L14" s="28">
        <f t="shared" si="0"/>
        <v>125000</v>
      </c>
    </row>
    <row r="15" spans="1:13" x14ac:dyDescent="0.2">
      <c r="A15" s="30"/>
      <c r="B15" s="31"/>
      <c r="C15" s="31"/>
      <c r="D15" s="28"/>
      <c r="E15" s="28"/>
      <c r="F15" s="28"/>
      <c r="G15" s="28"/>
      <c r="H15" s="28"/>
      <c r="I15" s="28"/>
      <c r="J15" s="28"/>
      <c r="K15" s="28"/>
      <c r="L15" s="28">
        <f t="shared" si="0"/>
        <v>0</v>
      </c>
    </row>
    <row r="16" spans="1:13" x14ac:dyDescent="0.2">
      <c r="A16" s="30"/>
      <c r="B16" s="31"/>
      <c r="C16" s="31"/>
      <c r="D16" s="28"/>
      <c r="E16" s="28"/>
      <c r="F16" s="28"/>
      <c r="G16" s="28"/>
      <c r="H16" s="28"/>
      <c r="I16" s="28"/>
      <c r="J16" s="28"/>
      <c r="K16" s="28"/>
      <c r="L16" s="28">
        <f t="shared" si="0"/>
        <v>0</v>
      </c>
    </row>
    <row r="17" spans="1:12" x14ac:dyDescent="0.2">
      <c r="A17" s="30"/>
      <c r="B17" s="31"/>
      <c r="C17" s="31"/>
      <c r="D17" s="28"/>
      <c r="E17" s="28"/>
      <c r="F17" s="28"/>
      <c r="G17" s="28"/>
      <c r="H17" s="28"/>
      <c r="I17" s="28"/>
      <c r="J17" s="28"/>
      <c r="K17" s="28"/>
      <c r="L17" s="28">
        <f t="shared" si="0"/>
        <v>0</v>
      </c>
    </row>
    <row r="18" spans="1:12" x14ac:dyDescent="0.2">
      <c r="A18" s="26"/>
      <c r="B18" s="27"/>
      <c r="C18" s="31"/>
      <c r="D18" s="28"/>
      <c r="E18" s="28"/>
      <c r="F18" s="28"/>
      <c r="G18" s="28"/>
      <c r="H18" s="28"/>
      <c r="I18" s="28"/>
      <c r="J18" s="28"/>
      <c r="K18" s="28"/>
      <c r="L18" s="28">
        <f t="shared" si="0"/>
        <v>0</v>
      </c>
    </row>
    <row r="19" spans="1:12" x14ac:dyDescent="0.2">
      <c r="A19" s="26"/>
      <c r="B19" s="27"/>
      <c r="C19" s="27"/>
      <c r="D19" s="28"/>
      <c r="E19" s="28"/>
      <c r="F19" s="28"/>
      <c r="G19" s="28"/>
      <c r="H19" s="28"/>
      <c r="I19" s="28"/>
      <c r="J19" s="28"/>
      <c r="K19" s="28"/>
      <c r="L19" s="28"/>
    </row>
    <row r="20" spans="1:12" x14ac:dyDescent="0.2">
      <c r="A20" s="32"/>
      <c r="B20" s="33" t="s">
        <v>24</v>
      </c>
      <c r="C20" s="33"/>
      <c r="D20" s="34">
        <f t="shared" ref="D20:L20" si="1">SUM(D10:D18)</f>
        <v>60000</v>
      </c>
      <c r="E20" s="34">
        <f t="shared" si="1"/>
        <v>905000</v>
      </c>
      <c r="F20" s="34">
        <f t="shared" si="1"/>
        <v>0</v>
      </c>
      <c r="G20" s="34">
        <f t="shared" si="1"/>
        <v>0</v>
      </c>
      <c r="H20" s="34">
        <f t="shared" si="1"/>
        <v>0</v>
      </c>
      <c r="I20" s="34">
        <f t="shared" si="1"/>
        <v>0</v>
      </c>
      <c r="J20" s="34">
        <f t="shared" si="1"/>
        <v>0</v>
      </c>
      <c r="K20" s="34">
        <f t="shared" si="1"/>
        <v>0</v>
      </c>
      <c r="L20" s="34">
        <f t="shared" si="1"/>
        <v>965000</v>
      </c>
    </row>
    <row r="21" spans="1:12" x14ac:dyDescent="0.2">
      <c r="A21" s="35" t="s">
        <v>27</v>
      </c>
    </row>
    <row r="22" spans="1:12" x14ac:dyDescent="0.2">
      <c r="A22" s="22" t="s">
        <v>28</v>
      </c>
    </row>
    <row r="23" spans="1:12" ht="15" customHeight="1" x14ac:dyDescent="0.2">
      <c r="G23" s="104" t="s">
        <v>164</v>
      </c>
      <c r="H23" s="104"/>
      <c r="I23" s="104"/>
      <c r="J23" s="104"/>
      <c r="K23" s="104"/>
      <c r="L23" s="104"/>
    </row>
    <row r="24" spans="1:12" ht="15" customHeight="1" x14ac:dyDescent="0.2">
      <c r="G24" s="91" t="s">
        <v>39</v>
      </c>
      <c r="H24" s="91"/>
      <c r="I24" s="91"/>
      <c r="J24" s="91"/>
      <c r="K24" s="91"/>
      <c r="L24" s="91"/>
    </row>
    <row r="25" spans="1:12" x14ac:dyDescent="0.2">
      <c r="K25" s="21"/>
    </row>
    <row r="26" spans="1:12" x14ac:dyDescent="0.2">
      <c r="K26" s="21"/>
    </row>
    <row r="27" spans="1:12" x14ac:dyDescent="0.2">
      <c r="K27" s="21"/>
    </row>
    <row r="28" spans="1:12" ht="15" customHeight="1" x14ac:dyDescent="0.2">
      <c r="G28" s="92" t="s">
        <v>40</v>
      </c>
      <c r="H28" s="92"/>
      <c r="I28" s="92"/>
      <c r="J28" s="92"/>
      <c r="K28" s="92"/>
      <c r="L28" s="92"/>
    </row>
  </sheetData>
  <mergeCells count="11">
    <mergeCell ref="A1:L1"/>
    <mergeCell ref="A2:L2"/>
    <mergeCell ref="A3:L3"/>
    <mergeCell ref="A4:L4"/>
    <mergeCell ref="G23:L23"/>
    <mergeCell ref="G24:L24"/>
    <mergeCell ref="G28:L28"/>
    <mergeCell ref="A8:A9"/>
    <mergeCell ref="B8:B9"/>
    <mergeCell ref="C8:K8"/>
    <mergeCell ref="L8:L9"/>
  </mergeCells>
  <printOptions horizontalCentered="1"/>
  <pageMargins left="0.19685039370078741" right="0.19685039370078741" top="0.19685039370078741" bottom="0.19685039370078741" header="0.31496062992125984" footer="0.31496062992125984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view="pageBreakPreview" zoomScale="110" zoomScaleSheetLayoutView="110" workbookViewId="0">
      <pane xSplit="1" ySplit="3" topLeftCell="B55" activePane="bottomRight" state="frozen"/>
      <selection pane="topRight" activeCell="B1" sqref="B1"/>
      <selection pane="bottomLeft" activeCell="A4" sqref="A4"/>
      <selection pane="bottomRight" activeCell="F65" sqref="F65"/>
    </sheetView>
  </sheetViews>
  <sheetFormatPr defaultColWidth="9.140625" defaultRowHeight="14.25" x14ac:dyDescent="0.2"/>
  <cols>
    <col min="1" max="1" width="4.85546875" style="14" customWidth="1"/>
    <col min="2" max="2" width="13.42578125" style="20" customWidth="1"/>
    <col min="3" max="3" width="27.5703125" style="14" customWidth="1"/>
    <col min="4" max="6" width="9.140625" style="14"/>
    <col min="7" max="7" width="19.85546875" style="14" customWidth="1"/>
    <col min="8" max="16384" width="9.140625" style="14"/>
  </cols>
  <sheetData>
    <row r="1" spans="1:7" s="1" customFormat="1" ht="15.75" x14ac:dyDescent="0.25">
      <c r="A1" s="105" t="s">
        <v>29</v>
      </c>
      <c r="B1" s="105"/>
      <c r="C1" s="105"/>
      <c r="D1" s="105"/>
      <c r="E1" s="105"/>
      <c r="F1" s="105"/>
      <c r="G1" s="105"/>
    </row>
    <row r="2" spans="1:7" s="1" customFormat="1" ht="15.75" x14ac:dyDescent="0.25">
      <c r="A2" s="105" t="s">
        <v>30</v>
      </c>
      <c r="B2" s="105"/>
      <c r="C2" s="105"/>
      <c r="D2" s="105"/>
      <c r="E2" s="105"/>
      <c r="F2" s="105"/>
      <c r="G2" s="105"/>
    </row>
    <row r="3" spans="1:7" s="1" customFormat="1" ht="15.75" x14ac:dyDescent="0.25">
      <c r="A3" s="105" t="s">
        <v>125</v>
      </c>
      <c r="B3" s="105"/>
      <c r="C3" s="105"/>
      <c r="D3" s="105"/>
      <c r="E3" s="105"/>
      <c r="F3" s="105"/>
      <c r="G3" s="105"/>
    </row>
    <row r="4" spans="1:7" s="1" customFormat="1" ht="15.75" x14ac:dyDescent="0.25">
      <c r="A4" s="2"/>
      <c r="B4" s="2"/>
      <c r="C4" s="2"/>
      <c r="D4" s="2"/>
      <c r="E4" s="2"/>
      <c r="F4" s="2"/>
      <c r="G4" s="2"/>
    </row>
    <row r="5" spans="1:7" s="1" customFormat="1" ht="15.75" x14ac:dyDescent="0.25">
      <c r="A5" s="3" t="s">
        <v>8</v>
      </c>
      <c r="B5" s="2"/>
      <c r="C5" s="3" t="s">
        <v>49</v>
      </c>
      <c r="D5" s="2"/>
      <c r="E5" s="2"/>
      <c r="F5" s="2"/>
      <c r="G5" s="2"/>
    </row>
    <row r="6" spans="1:7" s="1" customFormat="1" ht="15.75" x14ac:dyDescent="0.25">
      <c r="A6" s="3" t="s">
        <v>9</v>
      </c>
      <c r="B6" s="2"/>
      <c r="C6" s="3" t="s">
        <v>110</v>
      </c>
      <c r="D6" s="2"/>
      <c r="E6" s="2"/>
      <c r="F6" s="2"/>
      <c r="G6" s="2"/>
    </row>
    <row r="8" spans="1:7" s="6" customFormat="1" x14ac:dyDescent="0.2">
      <c r="A8" s="4" t="s">
        <v>0</v>
      </c>
      <c r="B8" s="5" t="s">
        <v>1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2</v>
      </c>
    </row>
    <row r="9" spans="1:7" s="6" customFormat="1" x14ac:dyDescent="0.2">
      <c r="A9" s="7">
        <v>1</v>
      </c>
      <c r="B9" s="8">
        <v>45658</v>
      </c>
      <c r="C9" s="9" t="s">
        <v>7</v>
      </c>
      <c r="D9" s="85">
        <v>10</v>
      </c>
      <c r="E9" s="10"/>
      <c r="F9" s="10">
        <f>D9-E9</f>
        <v>10</v>
      </c>
      <c r="G9" s="11" t="s">
        <v>50</v>
      </c>
    </row>
    <row r="10" spans="1:7" s="6" customFormat="1" x14ac:dyDescent="0.2">
      <c r="A10" s="7">
        <v>2</v>
      </c>
      <c r="B10" s="8">
        <v>45660</v>
      </c>
      <c r="C10" s="13" t="s">
        <v>11</v>
      </c>
      <c r="D10" s="10"/>
      <c r="E10" s="10">
        <v>4</v>
      </c>
      <c r="F10" s="10">
        <f>F9+D10-E10</f>
        <v>6</v>
      </c>
      <c r="G10" s="11" t="s">
        <v>50</v>
      </c>
    </row>
    <row r="11" spans="1:7" s="6" customFormat="1" x14ac:dyDescent="0.2">
      <c r="A11" s="7">
        <v>3</v>
      </c>
      <c r="B11" s="45">
        <v>45738</v>
      </c>
      <c r="C11" s="46" t="s">
        <v>97</v>
      </c>
      <c r="D11" s="10">
        <v>4</v>
      </c>
      <c r="E11" s="10"/>
      <c r="F11" s="10">
        <f t="shared" ref="F11:F65" si="0">F10+D11-E11</f>
        <v>10</v>
      </c>
      <c r="G11" s="68" t="s">
        <v>128</v>
      </c>
    </row>
    <row r="12" spans="1:7" s="6" customFormat="1" x14ac:dyDescent="0.2">
      <c r="A12" s="7">
        <v>4</v>
      </c>
      <c r="B12" s="45">
        <v>45738</v>
      </c>
      <c r="C12" s="46" t="s">
        <v>11</v>
      </c>
      <c r="D12" s="10"/>
      <c r="E12" s="10">
        <v>4</v>
      </c>
      <c r="F12" s="10">
        <f t="shared" si="0"/>
        <v>6</v>
      </c>
      <c r="G12" s="68" t="s">
        <v>128</v>
      </c>
    </row>
    <row r="13" spans="1:7" s="6" customFormat="1" x14ac:dyDescent="0.2">
      <c r="A13" s="7">
        <v>5</v>
      </c>
      <c r="B13" s="45">
        <v>45738</v>
      </c>
      <c r="C13" s="46" t="s">
        <v>97</v>
      </c>
      <c r="D13" s="10">
        <v>5</v>
      </c>
      <c r="E13" s="10"/>
      <c r="F13" s="10">
        <f t="shared" si="0"/>
        <v>11</v>
      </c>
      <c r="G13" s="68" t="s">
        <v>129</v>
      </c>
    </row>
    <row r="14" spans="1:7" s="6" customFormat="1" x14ac:dyDescent="0.2">
      <c r="A14" s="7">
        <v>6</v>
      </c>
      <c r="B14" s="45">
        <v>45738</v>
      </c>
      <c r="C14" s="46" t="s">
        <v>11</v>
      </c>
      <c r="D14" s="10"/>
      <c r="E14" s="10">
        <v>5</v>
      </c>
      <c r="F14" s="10">
        <f t="shared" si="0"/>
        <v>6</v>
      </c>
      <c r="G14" s="68" t="s">
        <v>129</v>
      </c>
    </row>
    <row r="15" spans="1:7" s="6" customFormat="1" x14ac:dyDescent="0.2">
      <c r="A15" s="7">
        <v>7</v>
      </c>
      <c r="B15" s="8">
        <v>45764</v>
      </c>
      <c r="C15" s="46" t="s">
        <v>97</v>
      </c>
      <c r="D15" s="10">
        <v>50</v>
      </c>
      <c r="E15" s="10"/>
      <c r="F15" s="10">
        <f t="shared" si="0"/>
        <v>56</v>
      </c>
      <c r="G15" s="11" t="s">
        <v>50</v>
      </c>
    </row>
    <row r="16" spans="1:7" s="6" customFormat="1" x14ac:dyDescent="0.2">
      <c r="A16" s="7">
        <v>8</v>
      </c>
      <c r="B16" s="8">
        <v>45764</v>
      </c>
      <c r="C16" s="46" t="s">
        <v>11</v>
      </c>
      <c r="D16" s="10"/>
      <c r="E16" s="10">
        <v>50</v>
      </c>
      <c r="F16" s="10">
        <f t="shared" si="0"/>
        <v>6</v>
      </c>
      <c r="G16" s="11" t="s">
        <v>50</v>
      </c>
    </row>
    <row r="17" spans="1:7" s="6" customFormat="1" x14ac:dyDescent="0.2">
      <c r="A17" s="7">
        <v>9</v>
      </c>
      <c r="B17" s="45">
        <v>45801</v>
      </c>
      <c r="C17" s="46" t="s">
        <v>97</v>
      </c>
      <c r="D17" s="10">
        <v>5</v>
      </c>
      <c r="E17" s="10"/>
      <c r="F17" s="10">
        <f t="shared" si="0"/>
        <v>11</v>
      </c>
      <c r="G17" s="68" t="s">
        <v>134</v>
      </c>
    </row>
    <row r="18" spans="1:7" s="6" customFormat="1" x14ac:dyDescent="0.2">
      <c r="A18" s="7">
        <v>10</v>
      </c>
      <c r="B18" s="45">
        <v>45801</v>
      </c>
      <c r="C18" s="46" t="s">
        <v>11</v>
      </c>
      <c r="D18" s="10"/>
      <c r="E18" s="10">
        <v>5</v>
      </c>
      <c r="F18" s="10">
        <f t="shared" si="0"/>
        <v>6</v>
      </c>
      <c r="G18" s="68" t="s">
        <v>134</v>
      </c>
    </row>
    <row r="19" spans="1:7" s="6" customFormat="1" x14ac:dyDescent="0.2">
      <c r="A19" s="7">
        <v>11</v>
      </c>
      <c r="B19" s="45">
        <v>45821</v>
      </c>
      <c r="C19" s="46" t="s">
        <v>97</v>
      </c>
      <c r="D19" s="10">
        <v>5</v>
      </c>
      <c r="E19" s="10"/>
      <c r="F19" s="10">
        <f t="shared" si="0"/>
        <v>11</v>
      </c>
      <c r="G19" s="68" t="s">
        <v>135</v>
      </c>
    </row>
    <row r="20" spans="1:7" s="6" customFormat="1" x14ac:dyDescent="0.2">
      <c r="A20" s="7">
        <v>12</v>
      </c>
      <c r="B20" s="45">
        <v>45821</v>
      </c>
      <c r="C20" s="46" t="s">
        <v>11</v>
      </c>
      <c r="D20" s="10"/>
      <c r="E20" s="10">
        <v>5</v>
      </c>
      <c r="F20" s="10">
        <f t="shared" si="0"/>
        <v>6</v>
      </c>
      <c r="G20" s="68" t="s">
        <v>135</v>
      </c>
    </row>
    <row r="21" spans="1:7" x14ac:dyDescent="0.2">
      <c r="A21" s="7">
        <v>13</v>
      </c>
      <c r="B21" s="45">
        <v>45824</v>
      </c>
      <c r="C21" s="46" t="s">
        <v>97</v>
      </c>
      <c r="D21" s="10">
        <v>5</v>
      </c>
      <c r="E21" s="10"/>
      <c r="F21" s="10">
        <f t="shared" si="0"/>
        <v>11</v>
      </c>
      <c r="G21" s="68" t="s">
        <v>136</v>
      </c>
    </row>
    <row r="22" spans="1:7" x14ac:dyDescent="0.2">
      <c r="A22" s="7">
        <v>14</v>
      </c>
      <c r="B22" s="45">
        <v>45824</v>
      </c>
      <c r="C22" s="46" t="s">
        <v>11</v>
      </c>
      <c r="D22" s="10"/>
      <c r="E22" s="10">
        <v>5</v>
      </c>
      <c r="F22" s="10">
        <f t="shared" si="0"/>
        <v>6</v>
      </c>
      <c r="G22" s="68" t="s">
        <v>136</v>
      </c>
    </row>
    <row r="23" spans="1:7" x14ac:dyDescent="0.2">
      <c r="A23" s="7">
        <v>15</v>
      </c>
      <c r="B23" s="45">
        <v>45852</v>
      </c>
      <c r="C23" s="46" t="s">
        <v>137</v>
      </c>
      <c r="D23" s="10">
        <v>300</v>
      </c>
      <c r="E23" s="10"/>
      <c r="F23" s="10">
        <f t="shared" si="0"/>
        <v>306</v>
      </c>
      <c r="G23" s="68" t="s">
        <v>50</v>
      </c>
    </row>
    <row r="24" spans="1:7" x14ac:dyDescent="0.2">
      <c r="A24" s="7">
        <v>16</v>
      </c>
      <c r="B24" s="45">
        <v>45852</v>
      </c>
      <c r="C24" s="46" t="s">
        <v>11</v>
      </c>
      <c r="D24" s="10"/>
      <c r="E24" s="10">
        <v>300</v>
      </c>
      <c r="F24" s="10">
        <f t="shared" si="0"/>
        <v>6</v>
      </c>
      <c r="G24" s="57" t="s">
        <v>50</v>
      </c>
    </row>
    <row r="25" spans="1:7" x14ac:dyDescent="0.2">
      <c r="A25" s="7">
        <v>17</v>
      </c>
      <c r="B25" s="36">
        <v>45871</v>
      </c>
      <c r="C25" s="46" t="s">
        <v>97</v>
      </c>
      <c r="D25" s="10">
        <v>50</v>
      </c>
      <c r="E25" s="10"/>
      <c r="F25" s="10">
        <f t="shared" si="0"/>
        <v>56</v>
      </c>
      <c r="G25" s="57" t="s">
        <v>50</v>
      </c>
    </row>
    <row r="26" spans="1:7" x14ac:dyDescent="0.2">
      <c r="A26" s="7">
        <v>18</v>
      </c>
      <c r="B26" s="36">
        <v>45871</v>
      </c>
      <c r="C26" s="46" t="s">
        <v>11</v>
      </c>
      <c r="D26" s="49"/>
      <c r="E26" s="49">
        <v>50</v>
      </c>
      <c r="F26" s="10">
        <f t="shared" si="0"/>
        <v>6</v>
      </c>
      <c r="G26" s="11" t="s">
        <v>50</v>
      </c>
    </row>
    <row r="27" spans="1:7" x14ac:dyDescent="0.2">
      <c r="A27" s="7">
        <v>19</v>
      </c>
      <c r="B27" s="36">
        <v>45903</v>
      </c>
      <c r="C27" s="46" t="s">
        <v>97</v>
      </c>
      <c r="D27" s="49">
        <v>5</v>
      </c>
      <c r="E27" s="49"/>
      <c r="F27" s="10">
        <f t="shared" si="0"/>
        <v>11</v>
      </c>
      <c r="G27" s="68" t="s">
        <v>142</v>
      </c>
    </row>
    <row r="28" spans="1:7" x14ac:dyDescent="0.2">
      <c r="A28" s="7">
        <v>20</v>
      </c>
      <c r="B28" s="36">
        <v>45903</v>
      </c>
      <c r="C28" s="46" t="s">
        <v>11</v>
      </c>
      <c r="D28" s="10"/>
      <c r="E28" s="10">
        <v>5</v>
      </c>
      <c r="F28" s="10">
        <f t="shared" si="0"/>
        <v>6</v>
      </c>
      <c r="G28" s="68" t="s">
        <v>142</v>
      </c>
    </row>
    <row r="29" spans="1:7" x14ac:dyDescent="0.2">
      <c r="A29" s="7">
        <v>21</v>
      </c>
      <c r="B29" s="36">
        <v>45946</v>
      </c>
      <c r="C29" s="46" t="s">
        <v>97</v>
      </c>
      <c r="D29" s="49">
        <v>5</v>
      </c>
      <c r="E29" s="49"/>
      <c r="F29" s="10">
        <f t="shared" si="0"/>
        <v>11</v>
      </c>
      <c r="G29" s="11" t="s">
        <v>144</v>
      </c>
    </row>
    <row r="30" spans="1:7" x14ac:dyDescent="0.2">
      <c r="A30" s="7">
        <v>22</v>
      </c>
      <c r="B30" s="36">
        <v>45946</v>
      </c>
      <c r="C30" s="46" t="s">
        <v>11</v>
      </c>
      <c r="D30" s="10"/>
      <c r="E30" s="10">
        <v>5</v>
      </c>
      <c r="F30" s="10">
        <f t="shared" si="0"/>
        <v>6</v>
      </c>
      <c r="G30" s="11" t="s">
        <v>144</v>
      </c>
    </row>
    <row r="31" spans="1:7" x14ac:dyDescent="0.2">
      <c r="A31" s="7">
        <v>23</v>
      </c>
      <c r="B31" s="12">
        <v>45947</v>
      </c>
      <c r="C31" s="46" t="s">
        <v>97</v>
      </c>
      <c r="D31" s="49">
        <v>5</v>
      </c>
      <c r="E31" s="49"/>
      <c r="F31" s="10">
        <f t="shared" si="0"/>
        <v>11</v>
      </c>
      <c r="G31" s="11" t="s">
        <v>145</v>
      </c>
    </row>
    <row r="32" spans="1:7" x14ac:dyDescent="0.2">
      <c r="A32" s="7">
        <v>24</v>
      </c>
      <c r="B32" s="12">
        <v>45947</v>
      </c>
      <c r="C32" s="46" t="s">
        <v>11</v>
      </c>
      <c r="D32" s="10"/>
      <c r="E32" s="10">
        <v>5</v>
      </c>
      <c r="F32" s="10">
        <f t="shared" si="0"/>
        <v>6</v>
      </c>
      <c r="G32" s="11" t="s">
        <v>145</v>
      </c>
    </row>
    <row r="33" spans="1:7" x14ac:dyDescent="0.2">
      <c r="A33" s="7">
        <v>25</v>
      </c>
      <c r="B33" s="12">
        <v>45947</v>
      </c>
      <c r="C33" s="46" t="s">
        <v>97</v>
      </c>
      <c r="D33" s="49">
        <v>5</v>
      </c>
      <c r="E33" s="49"/>
      <c r="F33" s="10">
        <f t="shared" si="0"/>
        <v>11</v>
      </c>
      <c r="G33" s="11" t="s">
        <v>146</v>
      </c>
    </row>
    <row r="34" spans="1:7" x14ac:dyDescent="0.2">
      <c r="A34" s="7">
        <v>26</v>
      </c>
      <c r="B34" s="12">
        <v>45947</v>
      </c>
      <c r="C34" s="46" t="s">
        <v>11</v>
      </c>
      <c r="D34" s="10"/>
      <c r="E34" s="10">
        <v>5</v>
      </c>
      <c r="F34" s="10">
        <f t="shared" si="0"/>
        <v>6</v>
      </c>
      <c r="G34" s="11" t="s">
        <v>146</v>
      </c>
    </row>
    <row r="35" spans="1:7" x14ac:dyDescent="0.2">
      <c r="A35" s="7">
        <v>27</v>
      </c>
      <c r="B35" s="12">
        <v>45947</v>
      </c>
      <c r="C35" s="46" t="s">
        <v>97</v>
      </c>
      <c r="D35" s="10">
        <v>4</v>
      </c>
      <c r="E35" s="10"/>
      <c r="F35" s="10">
        <f t="shared" si="0"/>
        <v>10</v>
      </c>
      <c r="G35" s="11" t="s">
        <v>147</v>
      </c>
    </row>
    <row r="36" spans="1:7" x14ac:dyDescent="0.2">
      <c r="A36" s="7">
        <v>28</v>
      </c>
      <c r="B36" s="12">
        <v>45947</v>
      </c>
      <c r="C36" s="46" t="s">
        <v>11</v>
      </c>
      <c r="D36" s="49"/>
      <c r="E36" s="49">
        <v>4</v>
      </c>
      <c r="F36" s="10">
        <f t="shared" si="0"/>
        <v>6</v>
      </c>
      <c r="G36" s="11" t="s">
        <v>147</v>
      </c>
    </row>
    <row r="37" spans="1:7" x14ac:dyDescent="0.2">
      <c r="A37" s="7">
        <v>29</v>
      </c>
      <c r="B37" s="12">
        <v>45947</v>
      </c>
      <c r="C37" s="46" t="s">
        <v>97</v>
      </c>
      <c r="D37" s="49">
        <v>5</v>
      </c>
      <c r="E37" s="49"/>
      <c r="F37" s="10">
        <f t="shared" si="0"/>
        <v>11</v>
      </c>
      <c r="G37" s="68" t="s">
        <v>148</v>
      </c>
    </row>
    <row r="38" spans="1:7" x14ac:dyDescent="0.2">
      <c r="A38" s="7">
        <v>30</v>
      </c>
      <c r="B38" s="12">
        <v>45947</v>
      </c>
      <c r="C38" s="46" t="s">
        <v>11</v>
      </c>
      <c r="D38" s="10"/>
      <c r="E38" s="10">
        <v>5</v>
      </c>
      <c r="F38" s="10">
        <f t="shared" si="0"/>
        <v>6</v>
      </c>
      <c r="G38" s="68" t="s">
        <v>148</v>
      </c>
    </row>
    <row r="39" spans="1:7" x14ac:dyDescent="0.2">
      <c r="A39" s="7">
        <v>31</v>
      </c>
      <c r="B39" s="12">
        <v>45947</v>
      </c>
      <c r="C39" s="46" t="s">
        <v>97</v>
      </c>
      <c r="D39" s="10">
        <v>4</v>
      </c>
      <c r="E39" s="10"/>
      <c r="F39" s="10">
        <f t="shared" si="0"/>
        <v>10</v>
      </c>
      <c r="G39" s="68" t="s">
        <v>149</v>
      </c>
    </row>
    <row r="40" spans="1:7" x14ac:dyDescent="0.2">
      <c r="A40" s="7">
        <v>32</v>
      </c>
      <c r="B40" s="12">
        <v>45947</v>
      </c>
      <c r="C40" s="46" t="s">
        <v>11</v>
      </c>
      <c r="D40" s="49"/>
      <c r="E40" s="49">
        <v>4</v>
      </c>
      <c r="F40" s="10">
        <f t="shared" si="0"/>
        <v>6</v>
      </c>
      <c r="G40" s="68" t="s">
        <v>149</v>
      </c>
    </row>
    <row r="41" spans="1:7" x14ac:dyDescent="0.2">
      <c r="A41" s="7">
        <v>33</v>
      </c>
      <c r="B41" s="12">
        <v>45947</v>
      </c>
      <c r="C41" s="46" t="s">
        <v>97</v>
      </c>
      <c r="D41" s="49">
        <v>5</v>
      </c>
      <c r="E41" s="49"/>
      <c r="F41" s="10">
        <f t="shared" si="0"/>
        <v>11</v>
      </c>
      <c r="G41" s="68" t="s">
        <v>150</v>
      </c>
    </row>
    <row r="42" spans="1:7" x14ac:dyDescent="0.2">
      <c r="A42" s="7">
        <v>34</v>
      </c>
      <c r="B42" s="12">
        <v>45947</v>
      </c>
      <c r="C42" s="46" t="s">
        <v>11</v>
      </c>
      <c r="D42" s="10"/>
      <c r="E42" s="10">
        <v>5</v>
      </c>
      <c r="F42" s="10">
        <f t="shared" si="0"/>
        <v>6</v>
      </c>
      <c r="G42" s="68" t="s">
        <v>150</v>
      </c>
    </row>
    <row r="43" spans="1:7" x14ac:dyDescent="0.2">
      <c r="A43" s="7">
        <v>35</v>
      </c>
      <c r="B43" s="12">
        <v>46000</v>
      </c>
      <c r="C43" s="48" t="s">
        <v>97</v>
      </c>
      <c r="D43" s="10">
        <v>50</v>
      </c>
      <c r="E43" s="10"/>
      <c r="F43" s="10">
        <f t="shared" si="0"/>
        <v>56</v>
      </c>
      <c r="G43" s="57" t="s">
        <v>50</v>
      </c>
    </row>
    <row r="44" spans="1:7" x14ac:dyDescent="0.2">
      <c r="A44" s="7">
        <v>36</v>
      </c>
      <c r="B44" s="12">
        <v>46000</v>
      </c>
      <c r="C44" s="48" t="s">
        <v>11</v>
      </c>
      <c r="D44" s="49"/>
      <c r="E44" s="49">
        <v>50</v>
      </c>
      <c r="F44" s="10">
        <f t="shared" si="0"/>
        <v>6</v>
      </c>
      <c r="G44" s="57" t="s">
        <v>50</v>
      </c>
    </row>
    <row r="45" spans="1:7" x14ac:dyDescent="0.2">
      <c r="A45" s="7">
        <v>37</v>
      </c>
      <c r="B45" s="12">
        <v>46006</v>
      </c>
      <c r="C45" s="48" t="s">
        <v>97</v>
      </c>
      <c r="D45" s="49">
        <v>5</v>
      </c>
      <c r="E45" s="49"/>
      <c r="F45" s="10">
        <f t="shared" si="0"/>
        <v>11</v>
      </c>
      <c r="G45" s="57" t="s">
        <v>153</v>
      </c>
    </row>
    <row r="46" spans="1:7" x14ac:dyDescent="0.2">
      <c r="A46" s="7">
        <v>38</v>
      </c>
      <c r="B46" s="12">
        <v>46006</v>
      </c>
      <c r="C46" s="48" t="s">
        <v>11</v>
      </c>
      <c r="D46" s="49"/>
      <c r="E46" s="49">
        <v>5</v>
      </c>
      <c r="F46" s="10">
        <f t="shared" si="0"/>
        <v>6</v>
      </c>
      <c r="G46" s="57" t="s">
        <v>153</v>
      </c>
    </row>
    <row r="47" spans="1:7" x14ac:dyDescent="0.2">
      <c r="A47" s="7">
        <v>39</v>
      </c>
      <c r="B47" s="12">
        <v>46006</v>
      </c>
      <c r="C47" s="48" t="s">
        <v>97</v>
      </c>
      <c r="D47" s="49">
        <v>5</v>
      </c>
      <c r="E47" s="49"/>
      <c r="F47" s="10">
        <f t="shared" si="0"/>
        <v>11</v>
      </c>
      <c r="G47" s="69" t="s">
        <v>154</v>
      </c>
    </row>
    <row r="48" spans="1:7" x14ac:dyDescent="0.2">
      <c r="A48" s="7">
        <v>40</v>
      </c>
      <c r="B48" s="12">
        <v>46006</v>
      </c>
      <c r="C48" s="48" t="s">
        <v>11</v>
      </c>
      <c r="D48" s="49"/>
      <c r="E48" s="49">
        <v>5</v>
      </c>
      <c r="F48" s="10">
        <f t="shared" si="0"/>
        <v>6</v>
      </c>
      <c r="G48" s="69" t="s">
        <v>154</v>
      </c>
    </row>
    <row r="49" spans="1:7" x14ac:dyDescent="0.2">
      <c r="A49" s="7">
        <v>41</v>
      </c>
      <c r="B49" s="12">
        <v>46006</v>
      </c>
      <c r="C49" s="48" t="s">
        <v>97</v>
      </c>
      <c r="D49" s="49">
        <v>5</v>
      </c>
      <c r="E49" s="49"/>
      <c r="F49" s="10">
        <f t="shared" si="0"/>
        <v>11</v>
      </c>
      <c r="G49" s="57" t="s">
        <v>155</v>
      </c>
    </row>
    <row r="50" spans="1:7" x14ac:dyDescent="0.2">
      <c r="A50" s="7">
        <v>42</v>
      </c>
      <c r="B50" s="12">
        <v>46006</v>
      </c>
      <c r="C50" s="48" t="s">
        <v>11</v>
      </c>
      <c r="D50" s="49"/>
      <c r="E50" s="49">
        <v>5</v>
      </c>
      <c r="F50" s="10">
        <f t="shared" si="0"/>
        <v>6</v>
      </c>
      <c r="G50" s="57" t="s">
        <v>155</v>
      </c>
    </row>
    <row r="51" spans="1:7" x14ac:dyDescent="0.2">
      <c r="A51" s="7">
        <v>43</v>
      </c>
      <c r="B51" s="88">
        <v>46008</v>
      </c>
      <c r="C51" s="48" t="s">
        <v>97</v>
      </c>
      <c r="D51" s="49">
        <v>100</v>
      </c>
      <c r="E51" s="49"/>
      <c r="F51" s="10">
        <f t="shared" si="0"/>
        <v>106</v>
      </c>
      <c r="G51" s="57" t="s">
        <v>50</v>
      </c>
    </row>
    <row r="52" spans="1:7" x14ac:dyDescent="0.2">
      <c r="A52" s="7">
        <v>44</v>
      </c>
      <c r="B52" s="88">
        <v>46008</v>
      </c>
      <c r="C52" s="48" t="s">
        <v>11</v>
      </c>
      <c r="D52" s="49"/>
      <c r="E52" s="49">
        <v>100</v>
      </c>
      <c r="F52" s="10">
        <f t="shared" si="0"/>
        <v>6</v>
      </c>
      <c r="G52" s="57" t="s">
        <v>50</v>
      </c>
    </row>
    <row r="53" spans="1:7" x14ac:dyDescent="0.2">
      <c r="A53" s="7">
        <v>45</v>
      </c>
      <c r="B53" s="43">
        <v>46010</v>
      </c>
      <c r="C53" s="48" t="s">
        <v>97</v>
      </c>
      <c r="D53" s="49">
        <v>5</v>
      </c>
      <c r="E53" s="49"/>
      <c r="F53" s="10">
        <f t="shared" si="0"/>
        <v>11</v>
      </c>
      <c r="G53" s="69" t="s">
        <v>156</v>
      </c>
    </row>
    <row r="54" spans="1:7" x14ac:dyDescent="0.2">
      <c r="A54" s="7">
        <v>46</v>
      </c>
      <c r="B54" s="43">
        <v>46010</v>
      </c>
      <c r="C54" s="48" t="s">
        <v>11</v>
      </c>
      <c r="D54" s="49"/>
      <c r="E54" s="49">
        <v>5</v>
      </c>
      <c r="F54" s="10">
        <f t="shared" si="0"/>
        <v>6</v>
      </c>
      <c r="G54" s="69" t="s">
        <v>156</v>
      </c>
    </row>
    <row r="55" spans="1:7" x14ac:dyDescent="0.2">
      <c r="A55" s="7">
        <v>47</v>
      </c>
      <c r="B55" s="43">
        <v>46010</v>
      </c>
      <c r="C55" s="48" t="s">
        <v>97</v>
      </c>
      <c r="D55" s="49">
        <v>4</v>
      </c>
      <c r="E55" s="49"/>
      <c r="F55" s="10">
        <f t="shared" si="0"/>
        <v>10</v>
      </c>
      <c r="G55" s="69" t="s">
        <v>157</v>
      </c>
    </row>
    <row r="56" spans="1:7" x14ac:dyDescent="0.2">
      <c r="A56" s="7">
        <v>48</v>
      </c>
      <c r="B56" s="43">
        <v>46010</v>
      </c>
      <c r="C56" s="48" t="s">
        <v>11</v>
      </c>
      <c r="D56" s="49"/>
      <c r="E56" s="49">
        <v>4</v>
      </c>
      <c r="F56" s="10">
        <f t="shared" si="0"/>
        <v>6</v>
      </c>
      <c r="G56" s="69" t="s">
        <v>157</v>
      </c>
    </row>
    <row r="57" spans="1:7" x14ac:dyDescent="0.2">
      <c r="A57" s="7">
        <v>49</v>
      </c>
      <c r="B57" s="43">
        <v>46010</v>
      </c>
      <c r="C57" s="48" t="s">
        <v>97</v>
      </c>
      <c r="D57" s="49">
        <v>5</v>
      </c>
      <c r="E57" s="49"/>
      <c r="F57" s="10">
        <f t="shared" si="0"/>
        <v>11</v>
      </c>
      <c r="G57" s="69" t="s">
        <v>159</v>
      </c>
    </row>
    <row r="58" spans="1:7" x14ac:dyDescent="0.2">
      <c r="A58" s="7">
        <v>50</v>
      </c>
      <c r="B58" s="43">
        <v>46010</v>
      </c>
      <c r="C58" s="48" t="s">
        <v>11</v>
      </c>
      <c r="D58" s="49"/>
      <c r="E58" s="49">
        <v>5</v>
      </c>
      <c r="F58" s="10">
        <f t="shared" si="0"/>
        <v>6</v>
      </c>
      <c r="G58" s="69" t="s">
        <v>159</v>
      </c>
    </row>
    <row r="59" spans="1:7" x14ac:dyDescent="0.2">
      <c r="A59" s="7">
        <v>51</v>
      </c>
      <c r="B59" s="43">
        <v>46012</v>
      </c>
      <c r="C59" s="48" t="s">
        <v>97</v>
      </c>
      <c r="D59" s="49">
        <v>5</v>
      </c>
      <c r="E59" s="49"/>
      <c r="F59" s="10">
        <f t="shared" si="0"/>
        <v>11</v>
      </c>
      <c r="G59" s="87" t="s">
        <v>160</v>
      </c>
    </row>
    <row r="60" spans="1:7" x14ac:dyDescent="0.2">
      <c r="A60" s="7">
        <v>52</v>
      </c>
      <c r="B60" s="43">
        <v>46012</v>
      </c>
      <c r="C60" s="48" t="s">
        <v>11</v>
      </c>
      <c r="D60" s="49"/>
      <c r="E60" s="49">
        <v>5</v>
      </c>
      <c r="F60" s="10">
        <f t="shared" si="0"/>
        <v>6</v>
      </c>
      <c r="G60" s="87" t="s">
        <v>160</v>
      </c>
    </row>
    <row r="61" spans="1:7" x14ac:dyDescent="0.2">
      <c r="A61" s="7">
        <v>53</v>
      </c>
      <c r="B61" s="43">
        <v>46012</v>
      </c>
      <c r="C61" s="48" t="s">
        <v>97</v>
      </c>
      <c r="D61" s="49">
        <v>5</v>
      </c>
      <c r="E61" s="49"/>
      <c r="F61" s="10">
        <f t="shared" si="0"/>
        <v>11</v>
      </c>
      <c r="G61" s="87" t="s">
        <v>161</v>
      </c>
    </row>
    <row r="62" spans="1:7" x14ac:dyDescent="0.2">
      <c r="A62" s="7">
        <v>54</v>
      </c>
      <c r="B62" s="43">
        <v>46012</v>
      </c>
      <c r="C62" s="48" t="s">
        <v>11</v>
      </c>
      <c r="D62" s="49"/>
      <c r="E62" s="49">
        <v>5</v>
      </c>
      <c r="F62" s="10">
        <f t="shared" si="0"/>
        <v>6</v>
      </c>
      <c r="G62" s="87" t="s">
        <v>161</v>
      </c>
    </row>
    <row r="63" spans="1:7" x14ac:dyDescent="0.2">
      <c r="A63" s="7">
        <v>55</v>
      </c>
      <c r="B63" s="43">
        <v>46012</v>
      </c>
      <c r="C63" s="48" t="s">
        <v>97</v>
      </c>
      <c r="D63" s="49">
        <v>5</v>
      </c>
      <c r="E63" s="49"/>
      <c r="F63" s="10">
        <f t="shared" si="0"/>
        <v>11</v>
      </c>
      <c r="G63" s="87" t="s">
        <v>162</v>
      </c>
    </row>
    <row r="64" spans="1:7" x14ac:dyDescent="0.2">
      <c r="A64" s="7">
        <v>56</v>
      </c>
      <c r="B64" s="43">
        <v>46012</v>
      </c>
      <c r="C64" s="48" t="s">
        <v>11</v>
      </c>
      <c r="D64" s="49"/>
      <c r="E64" s="49">
        <v>5</v>
      </c>
      <c r="F64" s="10">
        <f t="shared" si="0"/>
        <v>6</v>
      </c>
      <c r="G64" s="87" t="s">
        <v>162</v>
      </c>
    </row>
    <row r="65" spans="1:7" x14ac:dyDescent="0.2">
      <c r="A65" s="89"/>
      <c r="B65" s="43"/>
      <c r="C65" s="55"/>
      <c r="D65" s="90"/>
      <c r="E65" s="90"/>
      <c r="F65" s="85">
        <f t="shared" si="0"/>
        <v>6</v>
      </c>
      <c r="G65" s="87"/>
    </row>
    <row r="66" spans="1:7" x14ac:dyDescent="0.2">
      <c r="A66" s="15"/>
      <c r="B66" s="16"/>
      <c r="C66" s="17"/>
      <c r="D66" s="18"/>
      <c r="E66" s="18"/>
      <c r="F66" s="19"/>
      <c r="G66" s="15"/>
    </row>
  </sheetData>
  <mergeCells count="3">
    <mergeCell ref="A1:G1"/>
    <mergeCell ref="A2:G2"/>
    <mergeCell ref="A3:G3"/>
  </mergeCells>
  <printOptions horizontalCentered="1"/>
  <pageMargins left="0.39370078740157483" right="0.39370078740157483" top="0.74803149606299213" bottom="0.74803149606299213" header="0.31496062992125984" footer="0.31496062992125984"/>
  <pageSetup paperSize="1000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2"/>
  <sheetViews>
    <sheetView view="pageBreakPreview" zoomScale="110" zoomScaleSheetLayoutView="110" workbookViewId="0">
      <pane xSplit="1" ySplit="3" topLeftCell="B550" activePane="bottomRight" state="frozen"/>
      <selection pane="topRight" activeCell="B1" sqref="B1"/>
      <selection pane="bottomLeft" activeCell="A4" sqref="A4"/>
      <selection pane="bottomRight" activeCell="E561" sqref="E561"/>
    </sheetView>
  </sheetViews>
  <sheetFormatPr defaultColWidth="9.140625" defaultRowHeight="14.25" x14ac:dyDescent="0.2"/>
  <cols>
    <col min="1" max="1" width="4.85546875" style="62" customWidth="1"/>
    <col min="2" max="2" width="13.42578125" style="63" customWidth="1"/>
    <col min="3" max="3" width="27.5703125" style="62" customWidth="1"/>
    <col min="4" max="6" width="9.140625" style="62"/>
    <col min="7" max="7" width="22.7109375" style="62" customWidth="1"/>
    <col min="8" max="16384" width="9.140625" style="62"/>
  </cols>
  <sheetData>
    <row r="1" spans="1:7" s="70" customFormat="1" ht="15.75" x14ac:dyDescent="0.25">
      <c r="A1" s="106" t="s">
        <v>29</v>
      </c>
      <c r="B1" s="106"/>
      <c r="C1" s="106"/>
      <c r="D1" s="106"/>
      <c r="E1" s="106"/>
      <c r="F1" s="106"/>
      <c r="G1" s="106"/>
    </row>
    <row r="2" spans="1:7" s="70" customFormat="1" ht="15.75" x14ac:dyDescent="0.25">
      <c r="A2" s="106" t="s">
        <v>30</v>
      </c>
      <c r="B2" s="106"/>
      <c r="C2" s="106"/>
      <c r="D2" s="106"/>
      <c r="E2" s="106"/>
      <c r="F2" s="106"/>
      <c r="G2" s="106"/>
    </row>
    <row r="3" spans="1:7" s="70" customFormat="1" ht="15.75" x14ac:dyDescent="0.25">
      <c r="A3" s="106" t="s">
        <v>126</v>
      </c>
      <c r="B3" s="106"/>
      <c r="C3" s="106"/>
      <c r="D3" s="106"/>
      <c r="E3" s="106"/>
      <c r="F3" s="106"/>
      <c r="G3" s="106"/>
    </row>
    <row r="4" spans="1:7" s="70" customFormat="1" ht="15.75" x14ac:dyDescent="0.25">
      <c r="A4" s="65"/>
      <c r="B4" s="65"/>
      <c r="C4" s="65"/>
      <c r="D4" s="65"/>
      <c r="E4" s="65"/>
      <c r="F4" s="65"/>
      <c r="G4" s="65"/>
    </row>
    <row r="5" spans="1:7" s="70" customFormat="1" ht="15.75" x14ac:dyDescent="0.25">
      <c r="A5" s="64" t="s">
        <v>8</v>
      </c>
      <c r="B5" s="65"/>
      <c r="C5" s="64" t="s">
        <v>95</v>
      </c>
      <c r="D5" s="65"/>
      <c r="E5" s="65"/>
      <c r="F5" s="65"/>
      <c r="G5" s="65"/>
    </row>
    <row r="6" spans="1:7" s="70" customFormat="1" ht="15.75" x14ac:dyDescent="0.25">
      <c r="A6" s="64" t="s">
        <v>9</v>
      </c>
      <c r="B6" s="65"/>
      <c r="C6" s="64" t="s">
        <v>12</v>
      </c>
      <c r="D6" s="65"/>
      <c r="E6" s="65"/>
      <c r="F6" s="65"/>
      <c r="G6" s="65"/>
    </row>
    <row r="8" spans="1:7" s="71" customFormat="1" x14ac:dyDescent="0.2">
      <c r="A8" s="66" t="s">
        <v>0</v>
      </c>
      <c r="B8" s="67" t="s">
        <v>1</v>
      </c>
      <c r="C8" s="66" t="s">
        <v>3</v>
      </c>
      <c r="D8" s="66" t="s">
        <v>4</v>
      </c>
      <c r="E8" s="66" t="s">
        <v>5</v>
      </c>
      <c r="F8" s="66" t="s">
        <v>6</v>
      </c>
      <c r="G8" s="66" t="s">
        <v>2</v>
      </c>
    </row>
    <row r="9" spans="1:7" s="71" customFormat="1" x14ac:dyDescent="0.2">
      <c r="A9" s="56">
        <v>1</v>
      </c>
      <c r="B9" s="8">
        <v>45658</v>
      </c>
      <c r="C9" s="46" t="s">
        <v>7</v>
      </c>
      <c r="D9" s="86">
        <v>3</v>
      </c>
      <c r="E9" s="47"/>
      <c r="F9" s="47">
        <f>D9</f>
        <v>3</v>
      </c>
      <c r="G9" s="56"/>
    </row>
    <row r="10" spans="1:7" x14ac:dyDescent="0.2">
      <c r="A10" s="57">
        <v>2</v>
      </c>
      <c r="B10" s="36">
        <v>45660</v>
      </c>
      <c r="C10" s="48" t="s">
        <v>11</v>
      </c>
      <c r="D10" s="50"/>
      <c r="E10" s="50">
        <v>1</v>
      </c>
      <c r="F10" s="50">
        <f>F9+D10-E10</f>
        <v>2</v>
      </c>
      <c r="G10" s="57" t="s">
        <v>50</v>
      </c>
    </row>
    <row r="11" spans="1:7" x14ac:dyDescent="0.2">
      <c r="A11" s="56">
        <v>3</v>
      </c>
      <c r="B11" s="36">
        <v>45723</v>
      </c>
      <c r="C11" s="48" t="s">
        <v>11</v>
      </c>
      <c r="D11" s="50"/>
      <c r="E11" s="50">
        <v>2</v>
      </c>
      <c r="F11" s="50">
        <f t="shared" ref="F11:F28" si="0">F10+D11-E11</f>
        <v>0</v>
      </c>
      <c r="G11" s="57" t="s">
        <v>50</v>
      </c>
    </row>
    <row r="12" spans="1:7" x14ac:dyDescent="0.2">
      <c r="A12" s="57">
        <v>4</v>
      </c>
      <c r="B12" s="36">
        <v>45764</v>
      </c>
      <c r="C12" s="48" t="s">
        <v>97</v>
      </c>
      <c r="D12" s="50">
        <v>5</v>
      </c>
      <c r="E12" s="50"/>
      <c r="F12" s="50">
        <f t="shared" si="0"/>
        <v>5</v>
      </c>
      <c r="G12" s="57" t="s">
        <v>50</v>
      </c>
    </row>
    <row r="13" spans="1:7" x14ac:dyDescent="0.2">
      <c r="A13" s="56">
        <v>5</v>
      </c>
      <c r="B13" s="36">
        <v>45764</v>
      </c>
      <c r="C13" s="48" t="s">
        <v>11</v>
      </c>
      <c r="D13" s="50"/>
      <c r="E13" s="50">
        <v>2</v>
      </c>
      <c r="F13" s="50">
        <f t="shared" si="0"/>
        <v>3</v>
      </c>
      <c r="G13" s="57" t="s">
        <v>50</v>
      </c>
    </row>
    <row r="14" spans="1:7" x14ac:dyDescent="0.2">
      <c r="A14" s="57">
        <v>6</v>
      </c>
      <c r="B14" s="36">
        <v>45852</v>
      </c>
      <c r="C14" s="48" t="s">
        <v>137</v>
      </c>
      <c r="D14" s="50">
        <v>20</v>
      </c>
      <c r="E14" s="50"/>
      <c r="F14" s="50">
        <f t="shared" si="0"/>
        <v>23</v>
      </c>
      <c r="G14" s="57" t="s">
        <v>50</v>
      </c>
    </row>
    <row r="15" spans="1:7" x14ac:dyDescent="0.2">
      <c r="A15" s="56">
        <v>7</v>
      </c>
      <c r="B15" s="36">
        <v>45852</v>
      </c>
      <c r="C15" s="48" t="s">
        <v>11</v>
      </c>
      <c r="D15" s="50"/>
      <c r="E15" s="50">
        <v>15</v>
      </c>
      <c r="F15" s="50">
        <f t="shared" si="0"/>
        <v>8</v>
      </c>
      <c r="G15" s="74" t="s">
        <v>50</v>
      </c>
    </row>
    <row r="16" spans="1:7" x14ac:dyDescent="0.2">
      <c r="A16" s="57">
        <v>8</v>
      </c>
      <c r="B16" s="12">
        <v>45871</v>
      </c>
      <c r="C16" s="48" t="s">
        <v>97</v>
      </c>
      <c r="D16" s="50">
        <v>5</v>
      </c>
      <c r="E16" s="50"/>
      <c r="F16" s="50">
        <f t="shared" si="0"/>
        <v>13</v>
      </c>
      <c r="G16" s="74" t="s">
        <v>50</v>
      </c>
    </row>
    <row r="17" spans="1:7" x14ac:dyDescent="0.2">
      <c r="A17" s="56">
        <v>9</v>
      </c>
      <c r="B17" s="12">
        <v>45871</v>
      </c>
      <c r="C17" s="48" t="s">
        <v>11</v>
      </c>
      <c r="D17" s="50"/>
      <c r="E17" s="50">
        <v>7</v>
      </c>
      <c r="F17" s="50">
        <f t="shared" si="0"/>
        <v>6</v>
      </c>
      <c r="G17" s="57" t="s">
        <v>50</v>
      </c>
    </row>
    <row r="18" spans="1:7" x14ac:dyDescent="0.2">
      <c r="A18" s="57">
        <v>10</v>
      </c>
      <c r="B18" s="36">
        <v>45944</v>
      </c>
      <c r="C18" s="48" t="s">
        <v>97</v>
      </c>
      <c r="D18" s="50">
        <v>1</v>
      </c>
      <c r="E18" s="50"/>
      <c r="F18" s="50">
        <f t="shared" si="0"/>
        <v>7</v>
      </c>
      <c r="G18" s="57" t="s">
        <v>143</v>
      </c>
    </row>
    <row r="19" spans="1:7" x14ac:dyDescent="0.2">
      <c r="A19" s="56">
        <v>11</v>
      </c>
      <c r="B19" s="36">
        <v>45944</v>
      </c>
      <c r="C19" s="48" t="s">
        <v>11</v>
      </c>
      <c r="D19" s="50"/>
      <c r="E19" s="50">
        <v>1</v>
      </c>
      <c r="F19" s="50">
        <f t="shared" si="0"/>
        <v>6</v>
      </c>
      <c r="G19" s="57" t="s">
        <v>143</v>
      </c>
    </row>
    <row r="20" spans="1:7" x14ac:dyDescent="0.2">
      <c r="A20" s="57">
        <v>12</v>
      </c>
      <c r="B20" s="12">
        <v>46000</v>
      </c>
      <c r="C20" s="48" t="s">
        <v>97</v>
      </c>
      <c r="D20" s="50">
        <v>45</v>
      </c>
      <c r="E20" s="50"/>
      <c r="F20" s="50">
        <f t="shared" si="0"/>
        <v>51</v>
      </c>
      <c r="G20" s="57" t="s">
        <v>50</v>
      </c>
    </row>
    <row r="21" spans="1:7" x14ac:dyDescent="0.2">
      <c r="A21" s="56">
        <v>13</v>
      </c>
      <c r="B21" s="12">
        <v>46000</v>
      </c>
      <c r="C21" s="48" t="s">
        <v>11</v>
      </c>
      <c r="D21" s="50"/>
      <c r="E21" s="50">
        <v>45</v>
      </c>
      <c r="F21" s="50">
        <f t="shared" si="0"/>
        <v>6</v>
      </c>
      <c r="G21" s="57" t="s">
        <v>50</v>
      </c>
    </row>
    <row r="22" spans="1:7" x14ac:dyDescent="0.2">
      <c r="A22" s="57">
        <v>14</v>
      </c>
      <c r="B22" s="12">
        <v>46000</v>
      </c>
      <c r="C22" s="48" t="s">
        <v>97</v>
      </c>
      <c r="D22" s="50">
        <v>10</v>
      </c>
      <c r="E22" s="50"/>
      <c r="F22" s="50">
        <f t="shared" si="0"/>
        <v>16</v>
      </c>
      <c r="G22" s="74" t="s">
        <v>50</v>
      </c>
    </row>
    <row r="23" spans="1:7" x14ac:dyDescent="0.2">
      <c r="A23" s="56">
        <v>15</v>
      </c>
      <c r="B23" s="12">
        <v>46000</v>
      </c>
      <c r="C23" s="48" t="s">
        <v>11</v>
      </c>
      <c r="D23" s="50"/>
      <c r="E23" s="50">
        <v>10</v>
      </c>
      <c r="F23" s="50">
        <f t="shared" si="0"/>
        <v>6</v>
      </c>
      <c r="G23" s="74" t="s">
        <v>50</v>
      </c>
    </row>
    <row r="24" spans="1:7" x14ac:dyDescent="0.2">
      <c r="A24" s="57">
        <v>16</v>
      </c>
      <c r="B24" s="36">
        <v>46008</v>
      </c>
      <c r="C24" s="48" t="s">
        <v>97</v>
      </c>
      <c r="D24" s="50">
        <v>10</v>
      </c>
      <c r="E24" s="50"/>
      <c r="F24" s="50">
        <f t="shared" si="0"/>
        <v>16</v>
      </c>
      <c r="G24" s="74" t="s">
        <v>50</v>
      </c>
    </row>
    <row r="25" spans="1:7" x14ac:dyDescent="0.2">
      <c r="A25" s="56">
        <v>17</v>
      </c>
      <c r="B25" s="36">
        <v>46008</v>
      </c>
      <c r="C25" s="48" t="s">
        <v>11</v>
      </c>
      <c r="D25" s="50"/>
      <c r="E25" s="50">
        <v>10</v>
      </c>
      <c r="F25" s="50">
        <f t="shared" si="0"/>
        <v>6</v>
      </c>
      <c r="G25" s="74" t="s">
        <v>50</v>
      </c>
    </row>
    <row r="26" spans="1:7" x14ac:dyDescent="0.2">
      <c r="A26" s="57">
        <v>18</v>
      </c>
      <c r="B26" s="36"/>
      <c r="C26" s="48"/>
      <c r="D26" s="50"/>
      <c r="E26" s="50"/>
      <c r="F26" s="50">
        <f t="shared" si="0"/>
        <v>6</v>
      </c>
      <c r="G26" s="57"/>
    </row>
    <row r="27" spans="1:7" x14ac:dyDescent="0.2">
      <c r="A27" s="56">
        <v>19</v>
      </c>
      <c r="B27" s="36"/>
      <c r="C27" s="48"/>
      <c r="D27" s="50"/>
      <c r="E27" s="50"/>
      <c r="F27" s="50">
        <f t="shared" si="0"/>
        <v>6</v>
      </c>
      <c r="G27" s="57"/>
    </row>
    <row r="28" spans="1:7" x14ac:dyDescent="0.2">
      <c r="A28" s="57">
        <v>20</v>
      </c>
      <c r="B28" s="36"/>
      <c r="C28" s="48"/>
      <c r="D28" s="50"/>
      <c r="E28" s="50"/>
      <c r="F28" s="86">
        <f t="shared" si="0"/>
        <v>6</v>
      </c>
      <c r="G28" s="57"/>
    </row>
    <row r="29" spans="1:7" x14ac:dyDescent="0.2">
      <c r="A29" s="58"/>
      <c r="B29" s="44"/>
      <c r="C29" s="59"/>
      <c r="D29" s="72"/>
      <c r="E29" s="72"/>
      <c r="F29" s="61"/>
      <c r="G29" s="58"/>
    </row>
    <row r="31" spans="1:7" s="70" customFormat="1" ht="15.75" x14ac:dyDescent="0.25">
      <c r="A31" s="64" t="s">
        <v>8</v>
      </c>
      <c r="B31" s="65"/>
      <c r="C31" s="64" t="s">
        <v>96</v>
      </c>
      <c r="D31" s="65"/>
      <c r="E31" s="65"/>
      <c r="F31" s="65"/>
      <c r="G31" s="65"/>
    </row>
    <row r="32" spans="1:7" s="70" customFormat="1" ht="15.75" x14ac:dyDescent="0.25">
      <c r="A32" s="64" t="s">
        <v>9</v>
      </c>
      <c r="B32" s="65"/>
      <c r="C32" s="64" t="s">
        <v>12</v>
      </c>
      <c r="D32" s="65"/>
      <c r="E32" s="65"/>
      <c r="F32" s="65"/>
      <c r="G32" s="65"/>
    </row>
    <row r="34" spans="1:7" s="71" customFormat="1" x14ac:dyDescent="0.2">
      <c r="A34" s="66" t="s">
        <v>0</v>
      </c>
      <c r="B34" s="67" t="s">
        <v>1</v>
      </c>
      <c r="C34" s="66" t="s">
        <v>3</v>
      </c>
      <c r="D34" s="66" t="s">
        <v>4</v>
      </c>
      <c r="E34" s="66" t="s">
        <v>5</v>
      </c>
      <c r="F34" s="66" t="s">
        <v>6</v>
      </c>
      <c r="G34" s="66" t="s">
        <v>2</v>
      </c>
    </row>
    <row r="35" spans="1:7" s="71" customFormat="1" x14ac:dyDescent="0.2">
      <c r="A35" s="56">
        <v>1</v>
      </c>
      <c r="B35" s="8">
        <v>45658</v>
      </c>
      <c r="C35" s="46" t="s">
        <v>7</v>
      </c>
      <c r="D35" s="86">
        <v>2</v>
      </c>
      <c r="E35" s="47"/>
      <c r="F35" s="47">
        <f>D35</f>
        <v>2</v>
      </c>
      <c r="G35" s="56"/>
    </row>
    <row r="36" spans="1:7" s="71" customFormat="1" x14ac:dyDescent="0.2">
      <c r="A36" s="56">
        <v>2</v>
      </c>
      <c r="B36" s="36">
        <v>45660</v>
      </c>
      <c r="C36" s="48" t="s">
        <v>11</v>
      </c>
      <c r="D36" s="50"/>
      <c r="E36" s="50">
        <v>1</v>
      </c>
      <c r="F36" s="47">
        <f>F35+D36-E36</f>
        <v>1</v>
      </c>
      <c r="G36" s="57" t="s">
        <v>50</v>
      </c>
    </row>
    <row r="37" spans="1:7" s="71" customFormat="1" x14ac:dyDescent="0.2">
      <c r="A37" s="56">
        <v>3</v>
      </c>
      <c r="B37" s="36">
        <v>45716</v>
      </c>
      <c r="C37" s="48" t="s">
        <v>11</v>
      </c>
      <c r="D37" s="50"/>
      <c r="E37" s="50">
        <v>1</v>
      </c>
      <c r="F37" s="47">
        <f t="shared" ref="F37:F44" si="1">F36+D37-E37</f>
        <v>0</v>
      </c>
      <c r="G37" s="57" t="s">
        <v>50</v>
      </c>
    </row>
    <row r="38" spans="1:7" s="71" customFormat="1" x14ac:dyDescent="0.2">
      <c r="A38" s="56">
        <v>4</v>
      </c>
      <c r="B38" s="36">
        <v>45764</v>
      </c>
      <c r="C38" s="48" t="s">
        <v>97</v>
      </c>
      <c r="D38" s="50">
        <v>5</v>
      </c>
      <c r="E38" s="50"/>
      <c r="F38" s="47">
        <f t="shared" si="1"/>
        <v>5</v>
      </c>
      <c r="G38" s="57" t="s">
        <v>50</v>
      </c>
    </row>
    <row r="39" spans="1:7" x14ac:dyDescent="0.2">
      <c r="A39" s="56">
        <v>5</v>
      </c>
      <c r="B39" s="36">
        <v>45764</v>
      </c>
      <c r="C39" s="48" t="s">
        <v>11</v>
      </c>
      <c r="D39" s="50"/>
      <c r="E39" s="47">
        <v>5</v>
      </c>
      <c r="F39" s="47">
        <f t="shared" si="1"/>
        <v>0</v>
      </c>
      <c r="G39" s="57" t="s">
        <v>50</v>
      </c>
    </row>
    <row r="40" spans="1:7" x14ac:dyDescent="0.2">
      <c r="A40" s="56">
        <v>6</v>
      </c>
      <c r="B40" s="36">
        <v>45852</v>
      </c>
      <c r="C40" s="48" t="s">
        <v>137</v>
      </c>
      <c r="D40" s="50">
        <v>10</v>
      </c>
      <c r="E40" s="50"/>
      <c r="F40" s="47">
        <f t="shared" si="1"/>
        <v>10</v>
      </c>
      <c r="G40" s="57" t="s">
        <v>50</v>
      </c>
    </row>
    <row r="41" spans="1:7" x14ac:dyDescent="0.2">
      <c r="A41" s="56">
        <v>7</v>
      </c>
      <c r="B41" s="36">
        <v>45852</v>
      </c>
      <c r="C41" s="48" t="s">
        <v>11</v>
      </c>
      <c r="D41" s="47"/>
      <c r="E41" s="50">
        <v>8</v>
      </c>
      <c r="F41" s="47">
        <f t="shared" si="1"/>
        <v>2</v>
      </c>
      <c r="G41" s="57" t="s">
        <v>50</v>
      </c>
    </row>
    <row r="42" spans="1:7" x14ac:dyDescent="0.2">
      <c r="A42" s="56">
        <v>8</v>
      </c>
      <c r="B42" s="12">
        <v>45871</v>
      </c>
      <c r="C42" s="48" t="s">
        <v>97</v>
      </c>
      <c r="D42" s="47">
        <v>5</v>
      </c>
      <c r="E42" s="50"/>
      <c r="F42" s="47">
        <f t="shared" si="1"/>
        <v>7</v>
      </c>
      <c r="G42" s="57" t="s">
        <v>50</v>
      </c>
    </row>
    <row r="43" spans="1:7" x14ac:dyDescent="0.2">
      <c r="A43" s="56">
        <v>9</v>
      </c>
      <c r="B43" s="12">
        <v>45871</v>
      </c>
      <c r="C43" s="48" t="s">
        <v>11</v>
      </c>
      <c r="D43" s="50"/>
      <c r="E43" s="50">
        <v>5</v>
      </c>
      <c r="F43" s="47">
        <f t="shared" si="1"/>
        <v>2</v>
      </c>
      <c r="G43" s="57" t="s">
        <v>50</v>
      </c>
    </row>
    <row r="44" spans="1:7" x14ac:dyDescent="0.2">
      <c r="A44" s="56">
        <v>10</v>
      </c>
      <c r="B44" s="12">
        <v>45903</v>
      </c>
      <c r="C44" s="48" t="s">
        <v>97</v>
      </c>
      <c r="D44" s="47">
        <v>1</v>
      </c>
      <c r="E44" s="50"/>
      <c r="F44" s="47">
        <f t="shared" si="1"/>
        <v>3</v>
      </c>
      <c r="G44" s="57" t="s">
        <v>140</v>
      </c>
    </row>
    <row r="45" spans="1:7" x14ac:dyDescent="0.2">
      <c r="A45" s="56">
        <v>11</v>
      </c>
      <c r="B45" s="12">
        <v>45903</v>
      </c>
      <c r="C45" s="48" t="s">
        <v>11</v>
      </c>
      <c r="D45" s="47"/>
      <c r="E45" s="50">
        <v>1</v>
      </c>
      <c r="F45" s="50">
        <f t="shared" ref="F45:F59" si="2">F44+D45-E45</f>
        <v>2</v>
      </c>
      <c r="G45" s="57" t="s">
        <v>140</v>
      </c>
    </row>
    <row r="46" spans="1:7" x14ac:dyDescent="0.2">
      <c r="A46" s="56">
        <v>12</v>
      </c>
      <c r="B46" s="12">
        <v>46000</v>
      </c>
      <c r="C46" s="48" t="s">
        <v>97</v>
      </c>
      <c r="D46" s="50">
        <v>3</v>
      </c>
      <c r="E46" s="50"/>
      <c r="F46" s="50">
        <f t="shared" si="2"/>
        <v>5</v>
      </c>
      <c r="G46" s="57" t="s">
        <v>50</v>
      </c>
    </row>
    <row r="47" spans="1:7" x14ac:dyDescent="0.2">
      <c r="A47" s="56">
        <v>13</v>
      </c>
      <c r="B47" s="12">
        <v>46000</v>
      </c>
      <c r="C47" s="48" t="s">
        <v>11</v>
      </c>
      <c r="D47" s="50"/>
      <c r="E47" s="50">
        <v>3</v>
      </c>
      <c r="F47" s="50">
        <f t="shared" si="2"/>
        <v>2</v>
      </c>
      <c r="G47" s="57" t="s">
        <v>50</v>
      </c>
    </row>
    <row r="48" spans="1:7" x14ac:dyDescent="0.2">
      <c r="A48" s="56">
        <v>14</v>
      </c>
      <c r="B48" s="12">
        <v>46000</v>
      </c>
      <c r="C48" s="48" t="s">
        <v>97</v>
      </c>
      <c r="D48" s="50">
        <v>15</v>
      </c>
      <c r="E48" s="50"/>
      <c r="F48" s="50">
        <f t="shared" si="2"/>
        <v>17</v>
      </c>
      <c r="G48" s="57" t="s">
        <v>94</v>
      </c>
    </row>
    <row r="49" spans="1:7" x14ac:dyDescent="0.2">
      <c r="A49" s="56">
        <v>15</v>
      </c>
      <c r="B49" s="12">
        <v>46000</v>
      </c>
      <c r="C49" s="48" t="s">
        <v>11</v>
      </c>
      <c r="D49" s="50"/>
      <c r="E49" s="50">
        <v>15</v>
      </c>
      <c r="F49" s="50">
        <f t="shared" si="2"/>
        <v>2</v>
      </c>
      <c r="G49" s="57" t="s">
        <v>94</v>
      </c>
    </row>
    <row r="50" spans="1:7" x14ac:dyDescent="0.2">
      <c r="A50" s="56">
        <v>16</v>
      </c>
      <c r="B50" s="12">
        <v>46000</v>
      </c>
      <c r="C50" s="48" t="s">
        <v>97</v>
      </c>
      <c r="D50" s="50">
        <v>10</v>
      </c>
      <c r="E50" s="50"/>
      <c r="F50" s="50">
        <f t="shared" si="2"/>
        <v>12</v>
      </c>
      <c r="G50" s="57" t="s">
        <v>50</v>
      </c>
    </row>
    <row r="51" spans="1:7" x14ac:dyDescent="0.2">
      <c r="A51" s="56">
        <v>17</v>
      </c>
      <c r="B51" s="12">
        <v>46000</v>
      </c>
      <c r="C51" s="48" t="s">
        <v>11</v>
      </c>
      <c r="D51" s="50"/>
      <c r="E51" s="50">
        <v>10</v>
      </c>
      <c r="F51" s="50">
        <f t="shared" si="2"/>
        <v>2</v>
      </c>
      <c r="G51" s="57" t="s">
        <v>50</v>
      </c>
    </row>
    <row r="52" spans="1:7" x14ac:dyDescent="0.2">
      <c r="A52" s="56">
        <v>18</v>
      </c>
      <c r="B52" s="36">
        <v>46008</v>
      </c>
      <c r="C52" s="48" t="s">
        <v>97</v>
      </c>
      <c r="D52" s="50">
        <v>5</v>
      </c>
      <c r="E52" s="50"/>
      <c r="F52" s="50">
        <f t="shared" si="2"/>
        <v>7</v>
      </c>
      <c r="G52" s="57" t="s">
        <v>50</v>
      </c>
    </row>
    <row r="53" spans="1:7" x14ac:dyDescent="0.2">
      <c r="A53" s="56">
        <v>19</v>
      </c>
      <c r="B53" s="36">
        <v>46008</v>
      </c>
      <c r="C53" s="48" t="s">
        <v>11</v>
      </c>
      <c r="D53" s="50"/>
      <c r="E53" s="50">
        <v>5</v>
      </c>
      <c r="F53" s="50">
        <f t="shared" si="2"/>
        <v>2</v>
      </c>
      <c r="G53" s="57" t="s">
        <v>50</v>
      </c>
    </row>
    <row r="54" spans="1:7" x14ac:dyDescent="0.2">
      <c r="A54" s="56">
        <v>20</v>
      </c>
      <c r="B54" s="36">
        <v>46008</v>
      </c>
      <c r="C54" s="48" t="s">
        <v>97</v>
      </c>
      <c r="D54" s="50">
        <v>1</v>
      </c>
      <c r="E54" s="50"/>
      <c r="F54" s="50">
        <f t="shared" si="2"/>
        <v>3</v>
      </c>
      <c r="G54" s="57" t="s">
        <v>158</v>
      </c>
    </row>
    <row r="55" spans="1:7" x14ac:dyDescent="0.2">
      <c r="A55" s="56">
        <v>21</v>
      </c>
      <c r="B55" s="36">
        <v>46008</v>
      </c>
      <c r="C55" s="48" t="s">
        <v>11</v>
      </c>
      <c r="D55" s="50"/>
      <c r="E55" s="50">
        <v>1</v>
      </c>
      <c r="F55" s="50">
        <f t="shared" si="2"/>
        <v>2</v>
      </c>
      <c r="G55" s="57" t="s">
        <v>158</v>
      </c>
    </row>
    <row r="56" spans="1:7" x14ac:dyDescent="0.2">
      <c r="A56" s="56">
        <v>22</v>
      </c>
      <c r="B56" s="12"/>
      <c r="C56" s="48"/>
      <c r="D56" s="50"/>
      <c r="E56" s="50"/>
      <c r="F56" s="50">
        <f t="shared" si="2"/>
        <v>2</v>
      </c>
      <c r="G56" s="57"/>
    </row>
    <row r="57" spans="1:7" x14ac:dyDescent="0.2">
      <c r="A57" s="56">
        <v>23</v>
      </c>
      <c r="B57" s="12"/>
      <c r="C57" s="48"/>
      <c r="D57" s="50"/>
      <c r="E57" s="50"/>
      <c r="F57" s="50">
        <f t="shared" si="2"/>
        <v>2</v>
      </c>
      <c r="G57" s="57"/>
    </row>
    <row r="58" spans="1:7" x14ac:dyDescent="0.2">
      <c r="A58" s="56"/>
      <c r="B58" s="36"/>
      <c r="C58" s="48"/>
      <c r="D58" s="50"/>
      <c r="E58" s="50"/>
      <c r="F58" s="50">
        <f t="shared" si="2"/>
        <v>2</v>
      </c>
      <c r="G58" s="57"/>
    </row>
    <row r="59" spans="1:7" x14ac:dyDescent="0.2">
      <c r="A59" s="56"/>
      <c r="B59" s="73"/>
      <c r="C59" s="48"/>
      <c r="D59" s="50"/>
      <c r="E59" s="50"/>
      <c r="F59" s="86">
        <f t="shared" si="2"/>
        <v>2</v>
      </c>
      <c r="G59" s="57"/>
    </row>
    <row r="60" spans="1:7" x14ac:dyDescent="0.2">
      <c r="A60" s="84"/>
      <c r="B60" s="44"/>
      <c r="C60" s="59"/>
      <c r="D60" s="72"/>
      <c r="E60" s="72"/>
      <c r="F60" s="61"/>
      <c r="G60" s="58"/>
    </row>
    <row r="61" spans="1:7" ht="15.75" x14ac:dyDescent="0.25">
      <c r="A61" s="65"/>
      <c r="B61" s="65"/>
      <c r="C61" s="65"/>
      <c r="D61" s="65"/>
      <c r="E61" s="65"/>
      <c r="F61" s="65"/>
      <c r="G61" s="65"/>
    </row>
    <row r="62" spans="1:7" ht="15.75" x14ac:dyDescent="0.25">
      <c r="A62" s="64" t="s">
        <v>8</v>
      </c>
      <c r="B62" s="65"/>
      <c r="C62" s="64" t="s">
        <v>33</v>
      </c>
      <c r="D62" s="65"/>
      <c r="E62" s="65"/>
      <c r="F62" s="65"/>
      <c r="G62" s="65"/>
    </row>
    <row r="63" spans="1:7" ht="15.75" x14ac:dyDescent="0.25">
      <c r="A63" s="64" t="s">
        <v>9</v>
      </c>
      <c r="B63" s="65"/>
      <c r="C63" s="64" t="s">
        <v>12</v>
      </c>
      <c r="D63" s="65"/>
      <c r="E63" s="65"/>
      <c r="F63" s="65"/>
      <c r="G63" s="65"/>
    </row>
    <row r="65" spans="1:7" x14ac:dyDescent="0.2">
      <c r="A65" s="66" t="s">
        <v>0</v>
      </c>
      <c r="B65" s="67" t="s">
        <v>1</v>
      </c>
      <c r="C65" s="66" t="s">
        <v>3</v>
      </c>
      <c r="D65" s="66" t="s">
        <v>4</v>
      </c>
      <c r="E65" s="66" t="s">
        <v>5</v>
      </c>
      <c r="F65" s="66" t="s">
        <v>6</v>
      </c>
      <c r="G65" s="66" t="s">
        <v>2</v>
      </c>
    </row>
    <row r="66" spans="1:7" x14ac:dyDescent="0.2">
      <c r="A66" s="56">
        <v>1</v>
      </c>
      <c r="B66" s="8">
        <v>45658</v>
      </c>
      <c r="C66" s="46" t="s">
        <v>7</v>
      </c>
      <c r="D66" s="47"/>
      <c r="E66" s="47"/>
      <c r="F66" s="47">
        <f>D66</f>
        <v>0</v>
      </c>
      <c r="G66" s="56"/>
    </row>
    <row r="67" spans="1:7" x14ac:dyDescent="0.2">
      <c r="A67" s="57">
        <v>2</v>
      </c>
      <c r="B67" s="36"/>
      <c r="C67" s="48"/>
      <c r="D67" s="50"/>
      <c r="E67" s="50"/>
      <c r="F67" s="50"/>
      <c r="G67" s="57"/>
    </row>
    <row r="68" spans="1:7" x14ac:dyDescent="0.2">
      <c r="A68" s="57">
        <v>3</v>
      </c>
      <c r="B68" s="36"/>
      <c r="C68" s="48"/>
      <c r="D68" s="50"/>
      <c r="E68" s="50"/>
      <c r="F68" s="50"/>
      <c r="G68" s="57"/>
    </row>
    <row r="69" spans="1:7" s="70" customFormat="1" ht="15" customHeight="1" x14ac:dyDescent="0.25">
      <c r="A69" s="58"/>
      <c r="B69" s="44"/>
      <c r="C69" s="59"/>
      <c r="D69" s="72"/>
      <c r="E69" s="72"/>
      <c r="F69" s="61"/>
      <c r="G69" s="58"/>
    </row>
    <row r="70" spans="1:7" s="70" customFormat="1" ht="15.75" x14ac:dyDescent="0.25">
      <c r="A70" s="65"/>
      <c r="B70" s="65"/>
      <c r="C70" s="65"/>
      <c r="D70" s="65"/>
      <c r="E70" s="65"/>
      <c r="F70" s="65"/>
      <c r="G70" s="65"/>
    </row>
    <row r="71" spans="1:7" ht="15.75" x14ac:dyDescent="0.25">
      <c r="A71" s="64" t="s">
        <v>8</v>
      </c>
      <c r="B71" s="65"/>
      <c r="C71" s="64" t="s">
        <v>43</v>
      </c>
      <c r="D71" s="65"/>
      <c r="E71" s="65"/>
      <c r="F71" s="65"/>
      <c r="G71" s="65"/>
    </row>
    <row r="72" spans="1:7" ht="15.75" x14ac:dyDescent="0.25">
      <c r="A72" s="64" t="s">
        <v>9</v>
      </c>
      <c r="B72" s="65"/>
      <c r="C72" s="64" t="s">
        <v>44</v>
      </c>
      <c r="D72" s="65"/>
      <c r="E72" s="65"/>
      <c r="F72" s="65"/>
      <c r="G72" s="65"/>
    </row>
    <row r="74" spans="1:7" x14ac:dyDescent="0.2">
      <c r="A74" s="66" t="s">
        <v>0</v>
      </c>
      <c r="B74" s="67" t="s">
        <v>1</v>
      </c>
      <c r="C74" s="66" t="s">
        <v>3</v>
      </c>
      <c r="D74" s="66" t="s">
        <v>4</v>
      </c>
      <c r="E74" s="66" t="s">
        <v>5</v>
      </c>
      <c r="F74" s="66" t="s">
        <v>6</v>
      </c>
      <c r="G74" s="66" t="s">
        <v>2</v>
      </c>
    </row>
    <row r="75" spans="1:7" x14ac:dyDescent="0.2">
      <c r="A75" s="56">
        <v>1</v>
      </c>
      <c r="B75" s="8">
        <v>45658</v>
      </c>
      <c r="C75" s="46" t="s">
        <v>7</v>
      </c>
      <c r="D75" s="86">
        <v>1</v>
      </c>
      <c r="E75" s="47"/>
      <c r="F75" s="47">
        <f>D75</f>
        <v>1</v>
      </c>
      <c r="G75" s="56"/>
    </row>
    <row r="76" spans="1:7" x14ac:dyDescent="0.2">
      <c r="A76" s="57">
        <v>2</v>
      </c>
      <c r="B76" s="36">
        <v>45688</v>
      </c>
      <c r="C76" s="48" t="s">
        <v>11</v>
      </c>
      <c r="D76" s="50"/>
      <c r="E76" s="50">
        <v>1</v>
      </c>
      <c r="F76" s="50">
        <f>F75+D76-E76</f>
        <v>0</v>
      </c>
      <c r="G76" s="57" t="s">
        <v>50</v>
      </c>
    </row>
    <row r="77" spans="1:7" x14ac:dyDescent="0.2">
      <c r="A77" s="56">
        <v>3</v>
      </c>
      <c r="B77" s="36">
        <v>45764</v>
      </c>
      <c r="C77" s="48" t="s">
        <v>97</v>
      </c>
      <c r="D77" s="50">
        <v>2</v>
      </c>
      <c r="E77" s="50"/>
      <c r="F77" s="50">
        <f t="shared" ref="F77:F95" si="3">F76+D77-E77</f>
        <v>2</v>
      </c>
      <c r="G77" s="57" t="s">
        <v>50</v>
      </c>
    </row>
    <row r="78" spans="1:7" x14ac:dyDescent="0.2">
      <c r="A78" s="57">
        <v>4</v>
      </c>
      <c r="B78" s="36">
        <v>45764</v>
      </c>
      <c r="C78" s="48" t="s">
        <v>11</v>
      </c>
      <c r="D78" s="50"/>
      <c r="E78" s="50">
        <v>1</v>
      </c>
      <c r="F78" s="50">
        <f t="shared" si="3"/>
        <v>1</v>
      </c>
      <c r="G78" s="57" t="s">
        <v>50</v>
      </c>
    </row>
    <row r="79" spans="1:7" x14ac:dyDescent="0.2">
      <c r="A79" s="56">
        <v>5</v>
      </c>
      <c r="B79" s="36">
        <v>45852</v>
      </c>
      <c r="C79" s="48" t="s">
        <v>137</v>
      </c>
      <c r="D79" s="50">
        <v>5</v>
      </c>
      <c r="E79" s="50"/>
      <c r="F79" s="50">
        <f t="shared" si="3"/>
        <v>6</v>
      </c>
      <c r="G79" s="57" t="s">
        <v>50</v>
      </c>
    </row>
    <row r="80" spans="1:7" x14ac:dyDescent="0.2">
      <c r="A80" s="57">
        <v>6</v>
      </c>
      <c r="B80" s="36">
        <v>45852</v>
      </c>
      <c r="C80" s="48" t="s">
        <v>11</v>
      </c>
      <c r="D80" s="50"/>
      <c r="E80" s="50">
        <v>2</v>
      </c>
      <c r="F80" s="50">
        <f t="shared" si="3"/>
        <v>4</v>
      </c>
      <c r="G80" s="57" t="s">
        <v>50</v>
      </c>
    </row>
    <row r="81" spans="1:7" x14ac:dyDescent="0.2">
      <c r="A81" s="56">
        <v>7</v>
      </c>
      <c r="B81" s="12">
        <v>45871</v>
      </c>
      <c r="C81" s="48" t="s">
        <v>97</v>
      </c>
      <c r="D81" s="52">
        <v>2</v>
      </c>
      <c r="E81" s="52"/>
      <c r="F81" s="50">
        <f t="shared" si="3"/>
        <v>6</v>
      </c>
      <c r="G81" s="57" t="s">
        <v>50</v>
      </c>
    </row>
    <row r="82" spans="1:7" x14ac:dyDescent="0.2">
      <c r="A82" s="57">
        <v>8</v>
      </c>
      <c r="B82" s="12">
        <v>45871</v>
      </c>
      <c r="C82" s="48" t="s">
        <v>11</v>
      </c>
      <c r="D82" s="50"/>
      <c r="E82" s="50">
        <v>3</v>
      </c>
      <c r="F82" s="50">
        <f t="shared" si="3"/>
        <v>3</v>
      </c>
      <c r="G82" s="57" t="s">
        <v>50</v>
      </c>
    </row>
    <row r="83" spans="1:7" x14ac:dyDescent="0.2">
      <c r="A83" s="56">
        <v>9</v>
      </c>
      <c r="B83" s="36">
        <v>45903</v>
      </c>
      <c r="C83" s="48" t="s">
        <v>97</v>
      </c>
      <c r="D83" s="52">
        <v>1</v>
      </c>
      <c r="E83" s="52"/>
      <c r="F83" s="50">
        <f t="shared" si="3"/>
        <v>4</v>
      </c>
      <c r="G83" s="57" t="s">
        <v>140</v>
      </c>
    </row>
    <row r="84" spans="1:7" x14ac:dyDescent="0.2">
      <c r="A84" s="57">
        <v>10</v>
      </c>
      <c r="B84" s="36">
        <v>45903</v>
      </c>
      <c r="C84" s="48" t="s">
        <v>11</v>
      </c>
      <c r="D84" s="52"/>
      <c r="E84" s="52">
        <v>1</v>
      </c>
      <c r="F84" s="50">
        <f t="shared" si="3"/>
        <v>3</v>
      </c>
      <c r="G84" s="57" t="s">
        <v>140</v>
      </c>
    </row>
    <row r="85" spans="1:7" x14ac:dyDescent="0.2">
      <c r="A85" s="56">
        <v>11</v>
      </c>
      <c r="B85" s="36">
        <v>45944</v>
      </c>
      <c r="C85" s="48" t="s">
        <v>97</v>
      </c>
      <c r="D85" s="52">
        <v>1</v>
      </c>
      <c r="E85" s="52"/>
      <c r="F85" s="50">
        <f t="shared" si="3"/>
        <v>4</v>
      </c>
      <c r="G85" s="57" t="s">
        <v>143</v>
      </c>
    </row>
    <row r="86" spans="1:7" x14ac:dyDescent="0.2">
      <c r="A86" s="56">
        <v>12</v>
      </c>
      <c r="B86" s="36">
        <v>45944</v>
      </c>
      <c r="C86" s="48" t="s">
        <v>11</v>
      </c>
      <c r="D86" s="52"/>
      <c r="E86" s="52">
        <v>1</v>
      </c>
      <c r="F86" s="50">
        <f t="shared" si="3"/>
        <v>3</v>
      </c>
      <c r="G86" s="74" t="s">
        <v>143</v>
      </c>
    </row>
    <row r="87" spans="1:7" x14ac:dyDescent="0.2">
      <c r="A87" s="57">
        <v>13</v>
      </c>
      <c r="B87" s="12">
        <v>46000</v>
      </c>
      <c r="C87" s="48" t="s">
        <v>97</v>
      </c>
      <c r="D87" s="52">
        <v>3</v>
      </c>
      <c r="E87" s="52"/>
      <c r="F87" s="50">
        <f t="shared" si="3"/>
        <v>6</v>
      </c>
      <c r="G87" s="57" t="s">
        <v>151</v>
      </c>
    </row>
    <row r="88" spans="1:7" x14ac:dyDescent="0.2">
      <c r="A88" s="56">
        <v>14</v>
      </c>
      <c r="B88" s="12">
        <v>46000</v>
      </c>
      <c r="C88" s="48" t="s">
        <v>11</v>
      </c>
      <c r="D88" s="52"/>
      <c r="E88" s="52">
        <v>3</v>
      </c>
      <c r="F88" s="50">
        <f t="shared" si="3"/>
        <v>3</v>
      </c>
      <c r="G88" s="57" t="s">
        <v>151</v>
      </c>
    </row>
    <row r="89" spans="1:7" x14ac:dyDescent="0.2">
      <c r="A89" s="56">
        <v>15</v>
      </c>
      <c r="B89" s="12">
        <v>46000</v>
      </c>
      <c r="C89" s="48" t="s">
        <v>97</v>
      </c>
      <c r="D89" s="52">
        <v>1</v>
      </c>
      <c r="E89" s="52"/>
      <c r="F89" s="50">
        <f t="shared" si="3"/>
        <v>4</v>
      </c>
      <c r="G89" s="57" t="s">
        <v>50</v>
      </c>
    </row>
    <row r="90" spans="1:7" x14ac:dyDescent="0.2">
      <c r="A90" s="56">
        <v>16</v>
      </c>
      <c r="B90" s="12">
        <v>46000</v>
      </c>
      <c r="C90" s="48" t="s">
        <v>11</v>
      </c>
      <c r="D90" s="52"/>
      <c r="E90" s="52">
        <v>1</v>
      </c>
      <c r="F90" s="50">
        <f t="shared" si="3"/>
        <v>3</v>
      </c>
      <c r="G90" s="57" t="s">
        <v>50</v>
      </c>
    </row>
    <row r="91" spans="1:7" x14ac:dyDescent="0.2">
      <c r="A91" s="56">
        <v>17</v>
      </c>
      <c r="B91" s="36">
        <v>46008</v>
      </c>
      <c r="C91" s="48" t="s">
        <v>97</v>
      </c>
      <c r="D91" s="52">
        <v>1</v>
      </c>
      <c r="E91" s="52"/>
      <c r="F91" s="50">
        <f t="shared" si="3"/>
        <v>4</v>
      </c>
      <c r="G91" s="57" t="s">
        <v>50</v>
      </c>
    </row>
    <row r="92" spans="1:7" x14ac:dyDescent="0.2">
      <c r="A92" s="56">
        <v>18</v>
      </c>
      <c r="B92" s="36">
        <v>46008</v>
      </c>
      <c r="C92" s="48" t="s">
        <v>11</v>
      </c>
      <c r="D92" s="52"/>
      <c r="E92" s="52">
        <v>2</v>
      </c>
      <c r="F92" s="50">
        <f t="shared" si="3"/>
        <v>2</v>
      </c>
      <c r="G92" s="57" t="s">
        <v>50</v>
      </c>
    </row>
    <row r="93" spans="1:7" x14ac:dyDescent="0.2">
      <c r="A93" s="56">
        <v>19</v>
      </c>
      <c r="B93" s="12"/>
      <c r="C93" s="48"/>
      <c r="D93" s="52"/>
      <c r="E93" s="52"/>
      <c r="F93" s="50">
        <f t="shared" si="3"/>
        <v>2</v>
      </c>
      <c r="G93" s="57"/>
    </row>
    <row r="94" spans="1:7" x14ac:dyDescent="0.2">
      <c r="A94" s="56">
        <v>20</v>
      </c>
      <c r="B94" s="43"/>
      <c r="C94" s="48"/>
      <c r="D94" s="52"/>
      <c r="E94" s="52"/>
      <c r="F94" s="50">
        <f t="shared" si="3"/>
        <v>2</v>
      </c>
      <c r="G94" s="57"/>
    </row>
    <row r="95" spans="1:7" x14ac:dyDescent="0.2">
      <c r="A95" s="56"/>
      <c r="B95" s="43"/>
      <c r="C95" s="48"/>
      <c r="D95" s="52"/>
      <c r="E95" s="52"/>
      <c r="F95" s="86">
        <f t="shared" si="3"/>
        <v>2</v>
      </c>
      <c r="G95" s="57"/>
    </row>
    <row r="96" spans="1:7" s="70" customFormat="1" ht="15" customHeight="1" x14ac:dyDescent="0.25">
      <c r="A96" s="58"/>
      <c r="B96" s="44"/>
      <c r="C96" s="59"/>
      <c r="D96" s="72"/>
      <c r="E96" s="72"/>
      <c r="F96" s="61"/>
      <c r="G96" s="58"/>
    </row>
    <row r="98" spans="1:7" ht="15.75" x14ac:dyDescent="0.25">
      <c r="A98" s="64" t="s">
        <v>8</v>
      </c>
      <c r="B98" s="65"/>
      <c r="C98" s="64" t="s">
        <v>51</v>
      </c>
      <c r="D98" s="65"/>
      <c r="E98" s="65"/>
      <c r="F98" s="65"/>
      <c r="G98" s="65"/>
    </row>
    <row r="99" spans="1:7" ht="15.75" x14ac:dyDescent="0.25">
      <c r="A99" s="64" t="s">
        <v>9</v>
      </c>
      <c r="B99" s="65"/>
      <c r="C99" s="64" t="s">
        <v>44</v>
      </c>
      <c r="D99" s="65"/>
      <c r="E99" s="65"/>
      <c r="F99" s="65"/>
      <c r="G99" s="65"/>
    </row>
    <row r="101" spans="1:7" x14ac:dyDescent="0.2">
      <c r="A101" s="66" t="s">
        <v>0</v>
      </c>
      <c r="B101" s="67" t="s">
        <v>1</v>
      </c>
      <c r="C101" s="66" t="s">
        <v>3</v>
      </c>
      <c r="D101" s="66" t="s">
        <v>4</v>
      </c>
      <c r="E101" s="66" t="s">
        <v>5</v>
      </c>
      <c r="F101" s="66" t="s">
        <v>6</v>
      </c>
      <c r="G101" s="66" t="s">
        <v>2</v>
      </c>
    </row>
    <row r="102" spans="1:7" x14ac:dyDescent="0.2">
      <c r="A102" s="56">
        <v>1</v>
      </c>
      <c r="B102" s="8">
        <v>45658</v>
      </c>
      <c r="C102" s="46" t="s">
        <v>7</v>
      </c>
      <c r="D102" s="86">
        <v>1</v>
      </c>
      <c r="E102" s="47"/>
      <c r="F102" s="47">
        <f>D102</f>
        <v>1</v>
      </c>
      <c r="G102" s="56"/>
    </row>
    <row r="103" spans="1:7" x14ac:dyDescent="0.2">
      <c r="A103" s="57">
        <v>2</v>
      </c>
      <c r="B103" s="36">
        <v>45660</v>
      </c>
      <c r="C103" s="48" t="s">
        <v>11</v>
      </c>
      <c r="D103" s="50"/>
      <c r="E103" s="50">
        <v>1</v>
      </c>
      <c r="F103" s="50">
        <f>F102+D103-E103</f>
        <v>0</v>
      </c>
      <c r="G103" s="57" t="s">
        <v>42</v>
      </c>
    </row>
    <row r="104" spans="1:7" x14ac:dyDescent="0.2">
      <c r="A104" s="56">
        <v>3</v>
      </c>
      <c r="B104" s="36">
        <v>45764</v>
      </c>
      <c r="C104" s="48" t="s">
        <v>97</v>
      </c>
      <c r="D104" s="50">
        <v>2</v>
      </c>
      <c r="E104" s="50"/>
      <c r="F104" s="50">
        <f t="shared" ref="F104:F116" si="4">F103+D104-E104</f>
        <v>2</v>
      </c>
      <c r="G104" s="57" t="s">
        <v>42</v>
      </c>
    </row>
    <row r="105" spans="1:7" x14ac:dyDescent="0.2">
      <c r="A105" s="56">
        <v>4</v>
      </c>
      <c r="B105" s="36">
        <v>45764</v>
      </c>
      <c r="C105" s="48" t="s">
        <v>11</v>
      </c>
      <c r="D105" s="50"/>
      <c r="E105" s="50">
        <v>2</v>
      </c>
      <c r="F105" s="50">
        <f t="shared" si="4"/>
        <v>0</v>
      </c>
      <c r="G105" s="57" t="s">
        <v>42</v>
      </c>
    </row>
    <row r="106" spans="1:7" x14ac:dyDescent="0.2">
      <c r="A106" s="57">
        <v>5</v>
      </c>
      <c r="B106" s="36">
        <v>45852</v>
      </c>
      <c r="C106" s="48" t="s">
        <v>137</v>
      </c>
      <c r="D106" s="52">
        <v>5</v>
      </c>
      <c r="E106" s="52"/>
      <c r="F106" s="50">
        <f t="shared" si="4"/>
        <v>5</v>
      </c>
      <c r="G106" s="57" t="s">
        <v>42</v>
      </c>
    </row>
    <row r="107" spans="1:7" x14ac:dyDescent="0.2">
      <c r="A107" s="56">
        <v>6</v>
      </c>
      <c r="B107" s="36">
        <v>45852</v>
      </c>
      <c r="C107" s="48" t="s">
        <v>11</v>
      </c>
      <c r="D107" s="50"/>
      <c r="E107" s="50">
        <v>3</v>
      </c>
      <c r="F107" s="50">
        <f t="shared" si="4"/>
        <v>2</v>
      </c>
      <c r="G107" s="57" t="s">
        <v>42</v>
      </c>
    </row>
    <row r="108" spans="1:7" x14ac:dyDescent="0.2">
      <c r="A108" s="56">
        <v>7</v>
      </c>
      <c r="B108" s="12">
        <v>45871</v>
      </c>
      <c r="C108" s="48" t="s">
        <v>97</v>
      </c>
      <c r="D108" s="50">
        <v>2</v>
      </c>
      <c r="E108" s="50"/>
      <c r="F108" s="50">
        <f t="shared" si="4"/>
        <v>4</v>
      </c>
      <c r="G108" s="57" t="s">
        <v>42</v>
      </c>
    </row>
    <row r="109" spans="1:7" x14ac:dyDescent="0.2">
      <c r="A109" s="57">
        <v>8</v>
      </c>
      <c r="B109" s="12">
        <v>45871</v>
      </c>
      <c r="C109" s="48" t="s">
        <v>11</v>
      </c>
      <c r="D109" s="52"/>
      <c r="E109" s="52">
        <v>3</v>
      </c>
      <c r="F109" s="50">
        <f t="shared" si="4"/>
        <v>1</v>
      </c>
      <c r="G109" s="57" t="s">
        <v>42</v>
      </c>
    </row>
    <row r="110" spans="1:7" x14ac:dyDescent="0.2">
      <c r="A110" s="56">
        <v>9</v>
      </c>
      <c r="B110" s="12">
        <v>46000</v>
      </c>
      <c r="C110" s="48" t="s">
        <v>97</v>
      </c>
      <c r="D110" s="52">
        <v>3</v>
      </c>
      <c r="E110" s="52"/>
      <c r="F110" s="50">
        <f t="shared" si="4"/>
        <v>4</v>
      </c>
      <c r="G110" s="57" t="s">
        <v>151</v>
      </c>
    </row>
    <row r="111" spans="1:7" x14ac:dyDescent="0.2">
      <c r="A111" s="56">
        <v>10</v>
      </c>
      <c r="B111" s="12">
        <v>46000</v>
      </c>
      <c r="C111" s="48" t="s">
        <v>11</v>
      </c>
      <c r="D111" s="52"/>
      <c r="E111" s="52">
        <v>3</v>
      </c>
      <c r="F111" s="50">
        <f t="shared" si="4"/>
        <v>1</v>
      </c>
      <c r="G111" s="57" t="s">
        <v>151</v>
      </c>
    </row>
    <row r="112" spans="1:7" x14ac:dyDescent="0.2">
      <c r="A112" s="57">
        <v>11</v>
      </c>
      <c r="B112" s="12">
        <v>46000</v>
      </c>
      <c r="C112" s="48" t="s">
        <v>97</v>
      </c>
      <c r="D112" s="52">
        <v>3</v>
      </c>
      <c r="E112" s="52"/>
      <c r="F112" s="50">
        <f t="shared" si="4"/>
        <v>4</v>
      </c>
      <c r="G112" s="57" t="s">
        <v>42</v>
      </c>
    </row>
    <row r="113" spans="1:7" x14ac:dyDescent="0.2">
      <c r="A113" s="56">
        <v>12</v>
      </c>
      <c r="B113" s="12">
        <v>46000</v>
      </c>
      <c r="C113" s="48" t="s">
        <v>11</v>
      </c>
      <c r="D113" s="52"/>
      <c r="E113" s="52">
        <v>3</v>
      </c>
      <c r="F113" s="50">
        <f t="shared" si="4"/>
        <v>1</v>
      </c>
      <c r="G113" s="57" t="s">
        <v>42</v>
      </c>
    </row>
    <row r="114" spans="1:7" x14ac:dyDescent="0.2">
      <c r="A114" s="56">
        <v>13</v>
      </c>
      <c r="B114" s="36">
        <v>46008</v>
      </c>
      <c r="C114" s="48" t="s">
        <v>97</v>
      </c>
      <c r="D114" s="52">
        <v>1</v>
      </c>
      <c r="E114" s="52"/>
      <c r="F114" s="50">
        <f t="shared" si="4"/>
        <v>2</v>
      </c>
      <c r="G114" s="57" t="s">
        <v>42</v>
      </c>
    </row>
    <row r="115" spans="1:7" x14ac:dyDescent="0.2">
      <c r="A115" s="57">
        <v>14</v>
      </c>
      <c r="B115" s="36">
        <v>46008</v>
      </c>
      <c r="C115" s="48" t="s">
        <v>11</v>
      </c>
      <c r="D115" s="52"/>
      <c r="E115" s="52">
        <v>1</v>
      </c>
      <c r="F115" s="50">
        <f t="shared" si="4"/>
        <v>1</v>
      </c>
      <c r="G115" s="57" t="s">
        <v>42</v>
      </c>
    </row>
    <row r="116" spans="1:7" x14ac:dyDescent="0.2">
      <c r="A116" s="56"/>
      <c r="B116" s="12"/>
      <c r="C116" s="48"/>
      <c r="D116" s="52"/>
      <c r="E116" s="52"/>
      <c r="F116" s="86">
        <f t="shared" si="4"/>
        <v>1</v>
      </c>
      <c r="G116" s="57"/>
    </row>
    <row r="117" spans="1:7" s="70" customFormat="1" ht="15" customHeight="1" x14ac:dyDescent="0.25">
      <c r="A117" s="58"/>
      <c r="B117" s="44"/>
      <c r="C117" s="59"/>
      <c r="D117" s="72"/>
      <c r="E117" s="72"/>
      <c r="F117" s="61"/>
      <c r="G117" s="58"/>
    </row>
    <row r="119" spans="1:7" ht="15.75" x14ac:dyDescent="0.25">
      <c r="A119" s="64" t="s">
        <v>8</v>
      </c>
      <c r="B119" s="65"/>
      <c r="C119" s="64" t="s">
        <v>115</v>
      </c>
      <c r="D119" s="65"/>
      <c r="E119" s="65"/>
      <c r="F119" s="65"/>
      <c r="G119" s="65"/>
    </row>
    <row r="120" spans="1:7" ht="15.75" x14ac:dyDescent="0.25">
      <c r="A120" s="64" t="s">
        <v>9</v>
      </c>
      <c r="B120" s="65"/>
      <c r="C120" s="64" t="s">
        <v>45</v>
      </c>
      <c r="D120" s="65"/>
      <c r="E120" s="65"/>
      <c r="F120" s="65"/>
      <c r="G120" s="65"/>
    </row>
    <row r="122" spans="1:7" x14ac:dyDescent="0.2">
      <c r="A122" s="66" t="s">
        <v>0</v>
      </c>
      <c r="B122" s="67" t="s">
        <v>1</v>
      </c>
      <c r="C122" s="66" t="s">
        <v>3</v>
      </c>
      <c r="D122" s="66" t="s">
        <v>4</v>
      </c>
      <c r="E122" s="66" t="s">
        <v>5</v>
      </c>
      <c r="F122" s="66" t="s">
        <v>6</v>
      </c>
      <c r="G122" s="66" t="s">
        <v>2</v>
      </c>
    </row>
    <row r="123" spans="1:7" x14ac:dyDescent="0.2">
      <c r="A123" s="56">
        <v>1</v>
      </c>
      <c r="B123" s="8">
        <v>45658</v>
      </c>
      <c r="C123" s="46" t="s">
        <v>7</v>
      </c>
      <c r="D123" s="47"/>
      <c r="E123" s="47"/>
      <c r="F123" s="47">
        <f>D123</f>
        <v>0</v>
      </c>
      <c r="G123" s="56"/>
    </row>
    <row r="124" spans="1:7" x14ac:dyDescent="0.2">
      <c r="A124" s="57">
        <v>2</v>
      </c>
      <c r="B124" s="36">
        <v>45764</v>
      </c>
      <c r="C124" s="48" t="s">
        <v>97</v>
      </c>
      <c r="D124" s="50">
        <v>2</v>
      </c>
      <c r="E124" s="50"/>
      <c r="F124" s="50">
        <f>F123+D124-E124</f>
        <v>2</v>
      </c>
      <c r="G124" s="57" t="s">
        <v>50</v>
      </c>
    </row>
    <row r="125" spans="1:7" x14ac:dyDescent="0.2">
      <c r="A125" s="57">
        <v>3</v>
      </c>
      <c r="B125" s="36">
        <v>45764</v>
      </c>
      <c r="C125" s="48" t="s">
        <v>109</v>
      </c>
      <c r="D125" s="50"/>
      <c r="E125" s="50">
        <v>2</v>
      </c>
      <c r="F125" s="50">
        <f t="shared" ref="F125:F129" si="5">F124+D125-E125</f>
        <v>0</v>
      </c>
      <c r="G125" s="57" t="s">
        <v>50</v>
      </c>
    </row>
    <row r="126" spans="1:7" x14ac:dyDescent="0.2">
      <c r="A126" s="56">
        <v>4</v>
      </c>
      <c r="B126" s="45">
        <v>45871</v>
      </c>
      <c r="C126" s="48" t="s">
        <v>97</v>
      </c>
      <c r="D126" s="50">
        <v>2</v>
      </c>
      <c r="E126" s="50"/>
      <c r="F126" s="50">
        <f t="shared" si="5"/>
        <v>2</v>
      </c>
      <c r="G126" s="57" t="s">
        <v>50</v>
      </c>
    </row>
    <row r="127" spans="1:7" x14ac:dyDescent="0.2">
      <c r="A127" s="57">
        <v>5</v>
      </c>
      <c r="B127" s="45">
        <v>45871</v>
      </c>
      <c r="C127" s="48" t="s">
        <v>109</v>
      </c>
      <c r="D127" s="52"/>
      <c r="E127" s="52">
        <v>2</v>
      </c>
      <c r="F127" s="50">
        <f t="shared" si="5"/>
        <v>0</v>
      </c>
      <c r="G127" s="74" t="s">
        <v>50</v>
      </c>
    </row>
    <row r="128" spans="1:7" x14ac:dyDescent="0.2">
      <c r="A128" s="57">
        <v>6</v>
      </c>
      <c r="B128" s="45">
        <v>46008</v>
      </c>
      <c r="C128" s="48" t="s">
        <v>97</v>
      </c>
      <c r="D128" s="52">
        <v>1</v>
      </c>
      <c r="E128" s="52"/>
      <c r="F128" s="50">
        <f t="shared" si="5"/>
        <v>1</v>
      </c>
      <c r="G128" s="74" t="s">
        <v>50</v>
      </c>
    </row>
    <row r="129" spans="1:7" x14ac:dyDescent="0.2">
      <c r="A129" s="57">
        <v>7</v>
      </c>
      <c r="B129" s="45">
        <v>46008</v>
      </c>
      <c r="C129" s="48" t="s">
        <v>109</v>
      </c>
      <c r="D129" s="52"/>
      <c r="E129" s="52">
        <v>1</v>
      </c>
      <c r="F129" s="50">
        <f t="shared" si="5"/>
        <v>0</v>
      </c>
      <c r="G129" s="74" t="s">
        <v>50</v>
      </c>
    </row>
    <row r="130" spans="1:7" s="70" customFormat="1" ht="15" customHeight="1" x14ac:dyDescent="0.25">
      <c r="A130" s="58"/>
      <c r="B130" s="44"/>
      <c r="C130" s="59"/>
      <c r="D130" s="72"/>
      <c r="E130" s="72"/>
      <c r="F130" s="61"/>
      <c r="G130" s="58"/>
    </row>
    <row r="132" spans="1:7" ht="15.75" x14ac:dyDescent="0.25">
      <c r="A132" s="64" t="s">
        <v>8</v>
      </c>
      <c r="B132" s="65"/>
      <c r="C132" s="64" t="s">
        <v>68</v>
      </c>
      <c r="D132" s="65"/>
      <c r="E132" s="65"/>
      <c r="F132" s="65"/>
      <c r="G132" s="65"/>
    </row>
    <row r="133" spans="1:7" ht="15.75" x14ac:dyDescent="0.25">
      <c r="A133" s="64" t="s">
        <v>9</v>
      </c>
      <c r="B133" s="65"/>
      <c r="C133" s="64" t="s">
        <v>45</v>
      </c>
      <c r="D133" s="65"/>
      <c r="E133" s="65"/>
      <c r="F133" s="65"/>
      <c r="G133" s="65"/>
    </row>
    <row r="135" spans="1:7" x14ac:dyDescent="0.2">
      <c r="A135" s="66" t="s">
        <v>0</v>
      </c>
      <c r="B135" s="67" t="s">
        <v>1</v>
      </c>
      <c r="C135" s="66" t="s">
        <v>3</v>
      </c>
      <c r="D135" s="66" t="s">
        <v>4</v>
      </c>
      <c r="E135" s="66" t="s">
        <v>5</v>
      </c>
      <c r="F135" s="66" t="s">
        <v>6</v>
      </c>
      <c r="G135" s="66" t="s">
        <v>2</v>
      </c>
    </row>
    <row r="136" spans="1:7" x14ac:dyDescent="0.2">
      <c r="A136" s="56">
        <v>1</v>
      </c>
      <c r="B136" s="8">
        <v>45658</v>
      </c>
      <c r="C136" s="46" t="s">
        <v>7</v>
      </c>
      <c r="D136" s="47"/>
      <c r="E136" s="47"/>
      <c r="F136" s="47">
        <f>D136</f>
        <v>0</v>
      </c>
      <c r="G136" s="56"/>
    </row>
    <row r="137" spans="1:7" x14ac:dyDescent="0.2">
      <c r="A137" s="57">
        <v>2</v>
      </c>
      <c r="B137" s="36">
        <v>45764</v>
      </c>
      <c r="C137" s="48" t="s">
        <v>97</v>
      </c>
      <c r="D137" s="50">
        <v>2</v>
      </c>
      <c r="E137" s="50"/>
      <c r="F137" s="50">
        <f>F136+D137-E137</f>
        <v>2</v>
      </c>
      <c r="G137" s="57" t="s">
        <v>50</v>
      </c>
    </row>
    <row r="138" spans="1:7" x14ac:dyDescent="0.2">
      <c r="A138" s="57">
        <v>3</v>
      </c>
      <c r="B138" s="36">
        <v>45764</v>
      </c>
      <c r="C138" s="48" t="s">
        <v>109</v>
      </c>
      <c r="D138" s="50"/>
      <c r="E138" s="50">
        <v>2</v>
      </c>
      <c r="F138" s="50">
        <f t="shared" ref="F138:F142" si="6">F137+D138-E138</f>
        <v>0</v>
      </c>
      <c r="G138" s="57" t="s">
        <v>50</v>
      </c>
    </row>
    <row r="139" spans="1:7" x14ac:dyDescent="0.2">
      <c r="A139" s="57">
        <v>4</v>
      </c>
      <c r="B139" s="45">
        <v>45871</v>
      </c>
      <c r="C139" s="48" t="s">
        <v>97</v>
      </c>
      <c r="D139" s="50">
        <v>2</v>
      </c>
      <c r="E139" s="50"/>
      <c r="F139" s="50">
        <f t="shared" si="6"/>
        <v>2</v>
      </c>
      <c r="G139" s="57" t="s">
        <v>50</v>
      </c>
    </row>
    <row r="140" spans="1:7" x14ac:dyDescent="0.2">
      <c r="A140" s="74">
        <v>5</v>
      </c>
      <c r="B140" s="45">
        <v>45871</v>
      </c>
      <c r="C140" s="48" t="s">
        <v>109</v>
      </c>
      <c r="D140" s="52"/>
      <c r="E140" s="52">
        <v>2</v>
      </c>
      <c r="F140" s="50">
        <f t="shared" si="6"/>
        <v>0</v>
      </c>
      <c r="G140" s="74" t="s">
        <v>50</v>
      </c>
    </row>
    <row r="141" spans="1:7" x14ac:dyDescent="0.2">
      <c r="A141" s="57">
        <v>6</v>
      </c>
      <c r="B141" s="45">
        <v>46008</v>
      </c>
      <c r="C141" s="48" t="s">
        <v>97</v>
      </c>
      <c r="D141" s="52">
        <v>1</v>
      </c>
      <c r="E141" s="52"/>
      <c r="F141" s="50">
        <f t="shared" si="6"/>
        <v>1</v>
      </c>
      <c r="G141" s="74" t="s">
        <v>50</v>
      </c>
    </row>
    <row r="142" spans="1:7" x14ac:dyDescent="0.2">
      <c r="A142" s="57">
        <v>7</v>
      </c>
      <c r="B142" s="45">
        <v>46008</v>
      </c>
      <c r="C142" s="48" t="s">
        <v>109</v>
      </c>
      <c r="D142" s="52"/>
      <c r="E142" s="52">
        <v>1</v>
      </c>
      <c r="F142" s="50">
        <f t="shared" si="6"/>
        <v>0</v>
      </c>
      <c r="G142" s="74" t="s">
        <v>50</v>
      </c>
    </row>
    <row r="143" spans="1:7" s="70" customFormat="1" ht="15" customHeight="1" x14ac:dyDescent="0.25">
      <c r="A143" s="58"/>
      <c r="B143" s="44"/>
      <c r="C143" s="59"/>
      <c r="D143" s="72"/>
      <c r="E143" s="72"/>
      <c r="F143" s="61"/>
      <c r="G143" s="58"/>
    </row>
    <row r="145" spans="1:7" ht="15.75" x14ac:dyDescent="0.25">
      <c r="A145" s="64" t="s">
        <v>8</v>
      </c>
      <c r="B145" s="65"/>
      <c r="C145" s="64" t="s">
        <v>69</v>
      </c>
      <c r="D145" s="65"/>
      <c r="E145" s="65"/>
      <c r="F145" s="65"/>
      <c r="G145" s="65"/>
    </row>
    <row r="146" spans="1:7" ht="15.75" x14ac:dyDescent="0.25">
      <c r="A146" s="64" t="s">
        <v>9</v>
      </c>
      <c r="B146" s="65"/>
      <c r="C146" s="64" t="s">
        <v>45</v>
      </c>
      <c r="D146" s="65"/>
      <c r="E146" s="65"/>
      <c r="F146" s="65"/>
      <c r="G146" s="65"/>
    </row>
    <row r="148" spans="1:7" x14ac:dyDescent="0.2">
      <c r="A148" s="66" t="s">
        <v>0</v>
      </c>
      <c r="B148" s="67" t="s">
        <v>1</v>
      </c>
      <c r="C148" s="66" t="s">
        <v>3</v>
      </c>
      <c r="D148" s="66" t="s">
        <v>4</v>
      </c>
      <c r="E148" s="66" t="s">
        <v>5</v>
      </c>
      <c r="F148" s="66" t="s">
        <v>6</v>
      </c>
      <c r="G148" s="66" t="s">
        <v>2</v>
      </c>
    </row>
    <row r="149" spans="1:7" x14ac:dyDescent="0.2">
      <c r="A149" s="56">
        <v>1</v>
      </c>
      <c r="B149" s="8">
        <v>45658</v>
      </c>
      <c r="C149" s="46" t="s">
        <v>7</v>
      </c>
      <c r="D149" s="47"/>
      <c r="E149" s="47"/>
      <c r="F149" s="47">
        <f>D149</f>
        <v>0</v>
      </c>
      <c r="G149" s="56"/>
    </row>
    <row r="150" spans="1:7" x14ac:dyDescent="0.2">
      <c r="A150" s="57">
        <v>2</v>
      </c>
      <c r="B150" s="36">
        <v>45764</v>
      </c>
      <c r="C150" s="48" t="s">
        <v>97</v>
      </c>
      <c r="D150" s="50">
        <v>2</v>
      </c>
      <c r="E150" s="50"/>
      <c r="F150" s="50">
        <f>F149+D150-E150</f>
        <v>2</v>
      </c>
      <c r="G150" s="57" t="s">
        <v>50</v>
      </c>
    </row>
    <row r="151" spans="1:7" x14ac:dyDescent="0.2">
      <c r="A151" s="56">
        <v>3</v>
      </c>
      <c r="B151" s="36">
        <v>45764</v>
      </c>
      <c r="C151" s="48" t="s">
        <v>109</v>
      </c>
      <c r="D151" s="50"/>
      <c r="E151" s="50">
        <v>2</v>
      </c>
      <c r="F151" s="50">
        <f t="shared" ref="F151:F157" si="7">F150+D151-E151</f>
        <v>0</v>
      </c>
      <c r="G151" s="57" t="s">
        <v>50</v>
      </c>
    </row>
    <row r="152" spans="1:7" x14ac:dyDescent="0.2">
      <c r="A152" s="57">
        <v>4</v>
      </c>
      <c r="B152" s="45">
        <v>45871</v>
      </c>
      <c r="C152" s="48" t="s">
        <v>97</v>
      </c>
      <c r="D152" s="50">
        <v>2</v>
      </c>
      <c r="E152" s="50"/>
      <c r="F152" s="50">
        <f t="shared" si="7"/>
        <v>2</v>
      </c>
      <c r="G152" s="57" t="s">
        <v>50</v>
      </c>
    </row>
    <row r="153" spans="1:7" x14ac:dyDescent="0.2">
      <c r="A153" s="56">
        <v>5</v>
      </c>
      <c r="B153" s="45">
        <v>45871</v>
      </c>
      <c r="C153" s="48" t="s">
        <v>109</v>
      </c>
      <c r="D153" s="52"/>
      <c r="E153" s="52">
        <v>2</v>
      </c>
      <c r="F153" s="50">
        <f t="shared" si="7"/>
        <v>0</v>
      </c>
      <c r="G153" s="57" t="s">
        <v>50</v>
      </c>
    </row>
    <row r="154" spans="1:7" x14ac:dyDescent="0.2">
      <c r="A154" s="57">
        <v>6</v>
      </c>
      <c r="B154" s="45">
        <v>46000</v>
      </c>
      <c r="C154" s="48" t="s">
        <v>97</v>
      </c>
      <c r="D154" s="50">
        <v>2</v>
      </c>
      <c r="E154" s="50"/>
      <c r="F154" s="50">
        <f t="shared" si="7"/>
        <v>2</v>
      </c>
      <c r="G154" s="57" t="s">
        <v>151</v>
      </c>
    </row>
    <row r="155" spans="1:7" x14ac:dyDescent="0.2">
      <c r="A155" s="56">
        <v>7</v>
      </c>
      <c r="B155" s="45">
        <v>46000</v>
      </c>
      <c r="C155" s="48" t="s">
        <v>109</v>
      </c>
      <c r="D155" s="52"/>
      <c r="E155" s="52">
        <v>2</v>
      </c>
      <c r="F155" s="50">
        <f t="shared" si="7"/>
        <v>0</v>
      </c>
      <c r="G155" s="57" t="s">
        <v>151</v>
      </c>
    </row>
    <row r="156" spans="1:7" x14ac:dyDescent="0.2">
      <c r="A156" s="56">
        <v>8</v>
      </c>
      <c r="B156" s="45">
        <v>46008</v>
      </c>
      <c r="C156" s="48" t="s">
        <v>97</v>
      </c>
      <c r="D156" s="52">
        <v>1</v>
      </c>
      <c r="E156" s="52"/>
      <c r="F156" s="50">
        <f t="shared" si="7"/>
        <v>1</v>
      </c>
      <c r="G156" s="57" t="s">
        <v>50</v>
      </c>
    </row>
    <row r="157" spans="1:7" x14ac:dyDescent="0.2">
      <c r="A157" s="56">
        <v>9</v>
      </c>
      <c r="B157" s="45">
        <v>46008</v>
      </c>
      <c r="C157" s="48" t="s">
        <v>109</v>
      </c>
      <c r="D157" s="52"/>
      <c r="E157" s="52">
        <v>1</v>
      </c>
      <c r="F157" s="50">
        <f t="shared" si="7"/>
        <v>0</v>
      </c>
      <c r="G157" s="57" t="s">
        <v>50</v>
      </c>
    </row>
    <row r="158" spans="1:7" x14ac:dyDescent="0.2">
      <c r="A158" s="58"/>
      <c r="B158" s="44"/>
      <c r="C158" s="59"/>
      <c r="D158" s="72"/>
      <c r="E158" s="72"/>
      <c r="F158" s="61"/>
      <c r="G158" s="58"/>
    </row>
    <row r="160" spans="1:7" ht="15.75" x14ac:dyDescent="0.25">
      <c r="A160" s="64" t="s">
        <v>8</v>
      </c>
      <c r="B160" s="65"/>
      <c r="C160" s="64" t="s">
        <v>70</v>
      </c>
      <c r="D160" s="65"/>
      <c r="E160" s="65"/>
      <c r="F160" s="65"/>
      <c r="G160" s="65"/>
    </row>
    <row r="161" spans="1:7" ht="15.75" x14ac:dyDescent="0.25">
      <c r="A161" s="64" t="s">
        <v>9</v>
      </c>
      <c r="B161" s="65"/>
      <c r="C161" s="64" t="s">
        <v>45</v>
      </c>
      <c r="D161" s="65"/>
      <c r="E161" s="65"/>
      <c r="F161" s="65"/>
      <c r="G161" s="65"/>
    </row>
    <row r="163" spans="1:7" x14ac:dyDescent="0.2">
      <c r="A163" s="66" t="s">
        <v>0</v>
      </c>
      <c r="B163" s="67" t="s">
        <v>1</v>
      </c>
      <c r="C163" s="66" t="s">
        <v>3</v>
      </c>
      <c r="D163" s="66" t="s">
        <v>4</v>
      </c>
      <c r="E163" s="66" t="s">
        <v>5</v>
      </c>
      <c r="F163" s="66" t="s">
        <v>6</v>
      </c>
      <c r="G163" s="66" t="s">
        <v>2</v>
      </c>
    </row>
    <row r="164" spans="1:7" x14ac:dyDescent="0.2">
      <c r="A164" s="56">
        <v>1</v>
      </c>
      <c r="B164" s="45">
        <v>45658</v>
      </c>
      <c r="C164" s="46" t="s">
        <v>7</v>
      </c>
      <c r="D164" s="47">
        <v>0</v>
      </c>
      <c r="E164" s="47"/>
      <c r="F164" s="47">
        <f>D164</f>
        <v>0</v>
      </c>
      <c r="G164" s="56"/>
    </row>
    <row r="165" spans="1:7" x14ac:dyDescent="0.2">
      <c r="A165" s="57">
        <v>2</v>
      </c>
      <c r="B165" s="36"/>
      <c r="C165" s="48"/>
      <c r="D165" s="50"/>
      <c r="E165" s="50"/>
      <c r="F165" s="50">
        <f>F164+D165-E165</f>
        <v>0</v>
      </c>
      <c r="G165" s="57"/>
    </row>
    <row r="166" spans="1:7" x14ac:dyDescent="0.2">
      <c r="A166" s="56">
        <v>3</v>
      </c>
      <c r="B166" s="36"/>
      <c r="C166" s="48"/>
      <c r="D166" s="50"/>
      <c r="E166" s="50"/>
      <c r="F166" s="50">
        <f t="shared" ref="F166:F168" si="8">F165+D166-E166</f>
        <v>0</v>
      </c>
      <c r="G166" s="57"/>
    </row>
    <row r="167" spans="1:7" x14ac:dyDescent="0.2">
      <c r="A167" s="57">
        <v>4</v>
      </c>
      <c r="B167" s="45"/>
      <c r="C167" s="48"/>
      <c r="D167" s="50"/>
      <c r="E167" s="50"/>
      <c r="F167" s="50">
        <f t="shared" si="8"/>
        <v>0</v>
      </c>
      <c r="G167" s="57"/>
    </row>
    <row r="168" spans="1:7" x14ac:dyDescent="0.2">
      <c r="A168" s="56">
        <v>5</v>
      </c>
      <c r="B168" s="45"/>
      <c r="C168" s="48"/>
      <c r="D168" s="50"/>
      <c r="E168" s="50"/>
      <c r="F168" s="50">
        <f t="shared" si="8"/>
        <v>0</v>
      </c>
      <c r="G168" s="57"/>
    </row>
    <row r="169" spans="1:7" x14ac:dyDescent="0.2">
      <c r="A169" s="58"/>
      <c r="B169" s="44"/>
      <c r="C169" s="59"/>
      <c r="D169" s="72"/>
      <c r="E169" s="72"/>
      <c r="F169" s="61"/>
      <c r="G169" s="58"/>
    </row>
    <row r="171" spans="1:7" ht="15.75" x14ac:dyDescent="0.25">
      <c r="A171" s="64" t="s">
        <v>8</v>
      </c>
      <c r="B171" s="65"/>
      <c r="C171" s="64" t="s">
        <v>116</v>
      </c>
      <c r="D171" s="65"/>
      <c r="E171" s="65"/>
      <c r="F171" s="65"/>
      <c r="G171" s="65"/>
    </row>
    <row r="172" spans="1:7" ht="15.75" x14ac:dyDescent="0.25">
      <c r="A172" s="64" t="s">
        <v>9</v>
      </c>
      <c r="B172" s="65"/>
      <c r="C172" s="64" t="s">
        <v>45</v>
      </c>
      <c r="D172" s="65"/>
      <c r="E172" s="65"/>
      <c r="F172" s="65"/>
      <c r="G172" s="65"/>
    </row>
    <row r="174" spans="1:7" x14ac:dyDescent="0.2">
      <c r="A174" s="66" t="s">
        <v>0</v>
      </c>
      <c r="B174" s="67" t="s">
        <v>1</v>
      </c>
      <c r="C174" s="66" t="s">
        <v>3</v>
      </c>
      <c r="D174" s="66" t="s">
        <v>4</v>
      </c>
      <c r="E174" s="66" t="s">
        <v>5</v>
      </c>
      <c r="F174" s="66" t="s">
        <v>6</v>
      </c>
      <c r="G174" s="66" t="s">
        <v>2</v>
      </c>
    </row>
    <row r="175" spans="1:7" x14ac:dyDescent="0.2">
      <c r="A175" s="56">
        <v>1</v>
      </c>
      <c r="B175" s="45">
        <v>45658</v>
      </c>
      <c r="C175" s="46" t="s">
        <v>7</v>
      </c>
      <c r="D175" s="47"/>
      <c r="E175" s="47"/>
      <c r="F175" s="47">
        <f>D175</f>
        <v>0</v>
      </c>
      <c r="G175" s="56"/>
    </row>
    <row r="176" spans="1:7" x14ac:dyDescent="0.2">
      <c r="A176" s="57">
        <v>2</v>
      </c>
      <c r="B176" s="36">
        <v>45764</v>
      </c>
      <c r="C176" s="48" t="s">
        <v>97</v>
      </c>
      <c r="D176" s="50">
        <v>2</v>
      </c>
      <c r="E176" s="50"/>
      <c r="F176" s="50">
        <f>F175+D176-E176</f>
        <v>2</v>
      </c>
      <c r="G176" s="57" t="s">
        <v>50</v>
      </c>
    </row>
    <row r="177" spans="1:7" x14ac:dyDescent="0.2">
      <c r="A177" s="56">
        <v>3</v>
      </c>
      <c r="B177" s="36">
        <v>45764</v>
      </c>
      <c r="C177" s="48" t="s">
        <v>109</v>
      </c>
      <c r="D177" s="50"/>
      <c r="E177" s="50">
        <v>2</v>
      </c>
      <c r="F177" s="50">
        <f t="shared" ref="F177:F181" si="9">F176+D177-E177</f>
        <v>0</v>
      </c>
      <c r="G177" s="57" t="s">
        <v>50</v>
      </c>
    </row>
    <row r="178" spans="1:7" x14ac:dyDescent="0.2">
      <c r="A178" s="57">
        <v>4</v>
      </c>
      <c r="B178" s="45">
        <v>45871</v>
      </c>
      <c r="C178" s="48" t="s">
        <v>97</v>
      </c>
      <c r="D178" s="50">
        <v>2</v>
      </c>
      <c r="E178" s="50"/>
      <c r="F178" s="50">
        <f t="shared" si="9"/>
        <v>2</v>
      </c>
      <c r="G178" s="57" t="s">
        <v>50</v>
      </c>
    </row>
    <row r="179" spans="1:7" x14ac:dyDescent="0.2">
      <c r="A179" s="56">
        <v>5</v>
      </c>
      <c r="B179" s="45">
        <v>45871</v>
      </c>
      <c r="C179" s="48" t="s">
        <v>109</v>
      </c>
      <c r="D179" s="50"/>
      <c r="E179" s="50">
        <v>2</v>
      </c>
      <c r="F179" s="50">
        <f t="shared" si="9"/>
        <v>0</v>
      </c>
      <c r="G179" s="57" t="s">
        <v>50</v>
      </c>
    </row>
    <row r="180" spans="1:7" x14ac:dyDescent="0.2">
      <c r="A180" s="56">
        <v>6</v>
      </c>
      <c r="B180" s="45">
        <v>46008</v>
      </c>
      <c r="C180" s="48" t="s">
        <v>97</v>
      </c>
      <c r="D180" s="50">
        <v>1</v>
      </c>
      <c r="E180" s="50"/>
      <c r="F180" s="50">
        <f t="shared" si="9"/>
        <v>1</v>
      </c>
      <c r="G180" s="57" t="s">
        <v>50</v>
      </c>
    </row>
    <row r="181" spans="1:7" x14ac:dyDescent="0.2">
      <c r="A181" s="56">
        <v>7</v>
      </c>
      <c r="B181" s="45">
        <v>46008</v>
      </c>
      <c r="C181" s="48" t="s">
        <v>109</v>
      </c>
      <c r="D181" s="50"/>
      <c r="E181" s="50">
        <v>1</v>
      </c>
      <c r="F181" s="50">
        <f t="shared" si="9"/>
        <v>0</v>
      </c>
      <c r="G181" s="57" t="s">
        <v>50</v>
      </c>
    </row>
    <row r="182" spans="1:7" x14ac:dyDescent="0.2">
      <c r="A182" s="58"/>
      <c r="B182" s="44"/>
      <c r="C182" s="59"/>
      <c r="D182" s="72"/>
      <c r="E182" s="72"/>
      <c r="F182" s="61"/>
      <c r="G182" s="58"/>
    </row>
    <row r="183" spans="1:7" x14ac:dyDescent="0.2">
      <c r="A183" s="78"/>
      <c r="B183" s="83"/>
      <c r="C183" s="80"/>
      <c r="D183" s="81"/>
      <c r="E183" s="81"/>
      <c r="F183" s="82"/>
      <c r="G183" s="78"/>
    </row>
    <row r="184" spans="1:7" ht="15.75" x14ac:dyDescent="0.25">
      <c r="A184" s="64" t="s">
        <v>8</v>
      </c>
      <c r="B184" s="65"/>
      <c r="C184" s="64" t="s">
        <v>117</v>
      </c>
      <c r="D184" s="65"/>
      <c r="E184" s="65"/>
      <c r="F184" s="65"/>
      <c r="G184" s="65"/>
    </row>
    <row r="185" spans="1:7" ht="15.75" x14ac:dyDescent="0.25">
      <c r="A185" s="64" t="s">
        <v>9</v>
      </c>
      <c r="B185" s="65"/>
      <c r="C185" s="64" t="s">
        <v>45</v>
      </c>
      <c r="D185" s="65"/>
      <c r="E185" s="65"/>
      <c r="F185" s="65"/>
      <c r="G185" s="65"/>
    </row>
    <row r="187" spans="1:7" x14ac:dyDescent="0.2">
      <c r="A187" s="66" t="s">
        <v>0</v>
      </c>
      <c r="B187" s="67" t="s">
        <v>1</v>
      </c>
      <c r="C187" s="66" t="s">
        <v>3</v>
      </c>
      <c r="D187" s="66" t="s">
        <v>4</v>
      </c>
      <c r="E187" s="66" t="s">
        <v>5</v>
      </c>
      <c r="F187" s="66" t="s">
        <v>6</v>
      </c>
      <c r="G187" s="66" t="s">
        <v>2</v>
      </c>
    </row>
    <row r="188" spans="1:7" x14ac:dyDescent="0.2">
      <c r="A188" s="56">
        <v>1</v>
      </c>
      <c r="B188" s="45">
        <v>45658</v>
      </c>
      <c r="C188" s="46" t="s">
        <v>7</v>
      </c>
      <c r="D188" s="47"/>
      <c r="E188" s="47"/>
      <c r="F188" s="47">
        <f>D188</f>
        <v>0</v>
      </c>
      <c r="G188" s="56"/>
    </row>
    <row r="189" spans="1:7" x14ac:dyDescent="0.2">
      <c r="A189" s="57">
        <v>2</v>
      </c>
      <c r="B189" s="36">
        <v>45764</v>
      </c>
      <c r="C189" s="48" t="s">
        <v>97</v>
      </c>
      <c r="D189" s="50">
        <v>2</v>
      </c>
      <c r="E189" s="50"/>
      <c r="F189" s="50">
        <f>F188+D189-E189</f>
        <v>2</v>
      </c>
      <c r="G189" s="57" t="s">
        <v>50</v>
      </c>
    </row>
    <row r="190" spans="1:7" x14ac:dyDescent="0.2">
      <c r="A190" s="57">
        <v>3</v>
      </c>
      <c r="B190" s="36">
        <v>45764</v>
      </c>
      <c r="C190" s="48" t="s">
        <v>109</v>
      </c>
      <c r="D190" s="50"/>
      <c r="E190" s="50">
        <v>2</v>
      </c>
      <c r="F190" s="50">
        <f t="shared" ref="F190:F194" si="10">F189+D190-E190</f>
        <v>0</v>
      </c>
      <c r="G190" s="57" t="s">
        <v>50</v>
      </c>
    </row>
    <row r="191" spans="1:7" x14ac:dyDescent="0.2">
      <c r="A191" s="56">
        <v>4</v>
      </c>
      <c r="B191" s="36">
        <v>45871</v>
      </c>
      <c r="C191" s="48" t="s">
        <v>97</v>
      </c>
      <c r="D191" s="50">
        <v>2</v>
      </c>
      <c r="E191" s="50"/>
      <c r="F191" s="50">
        <f t="shared" si="10"/>
        <v>2</v>
      </c>
      <c r="G191" s="57" t="s">
        <v>50</v>
      </c>
    </row>
    <row r="192" spans="1:7" x14ac:dyDescent="0.2">
      <c r="A192" s="57">
        <v>5</v>
      </c>
      <c r="B192" s="36">
        <v>45871</v>
      </c>
      <c r="C192" s="48" t="s">
        <v>109</v>
      </c>
      <c r="D192" s="50"/>
      <c r="E192" s="50">
        <v>2</v>
      </c>
      <c r="F192" s="50">
        <f t="shared" si="10"/>
        <v>0</v>
      </c>
      <c r="G192" s="57" t="s">
        <v>50</v>
      </c>
    </row>
    <row r="193" spans="1:7" x14ac:dyDescent="0.2">
      <c r="A193" s="57">
        <v>6</v>
      </c>
      <c r="B193" s="43">
        <v>46008</v>
      </c>
      <c r="C193" s="48" t="s">
        <v>97</v>
      </c>
      <c r="D193" s="52">
        <v>1</v>
      </c>
      <c r="E193" s="52"/>
      <c r="F193" s="50">
        <f t="shared" si="10"/>
        <v>1</v>
      </c>
      <c r="G193" s="74" t="s">
        <v>50</v>
      </c>
    </row>
    <row r="194" spans="1:7" x14ac:dyDescent="0.2">
      <c r="A194" s="56">
        <v>7</v>
      </c>
      <c r="B194" s="43">
        <v>46008</v>
      </c>
      <c r="C194" s="48" t="s">
        <v>109</v>
      </c>
      <c r="D194" s="52"/>
      <c r="E194" s="52">
        <v>1</v>
      </c>
      <c r="F194" s="50">
        <f t="shared" si="10"/>
        <v>0</v>
      </c>
      <c r="G194" s="74" t="s">
        <v>50</v>
      </c>
    </row>
    <row r="195" spans="1:7" x14ac:dyDescent="0.2">
      <c r="A195" s="58"/>
      <c r="B195" s="44"/>
      <c r="C195" s="59"/>
      <c r="D195" s="72"/>
      <c r="E195" s="72"/>
      <c r="F195" s="61"/>
      <c r="G195" s="58"/>
    </row>
    <row r="197" spans="1:7" ht="15.75" x14ac:dyDescent="0.25">
      <c r="A197" s="64" t="s">
        <v>8</v>
      </c>
      <c r="B197" s="65"/>
      <c r="C197" s="64" t="s">
        <v>62</v>
      </c>
      <c r="D197" s="65"/>
      <c r="E197" s="65"/>
      <c r="F197" s="65"/>
      <c r="G197" s="65"/>
    </row>
    <row r="198" spans="1:7" ht="15.75" x14ac:dyDescent="0.25">
      <c r="A198" s="64" t="s">
        <v>9</v>
      </c>
      <c r="B198" s="65"/>
      <c r="C198" s="64" t="s">
        <v>45</v>
      </c>
      <c r="D198" s="65"/>
      <c r="E198" s="65"/>
      <c r="F198" s="65"/>
      <c r="G198" s="65"/>
    </row>
    <row r="200" spans="1:7" x14ac:dyDescent="0.2">
      <c r="A200" s="66" t="s">
        <v>0</v>
      </c>
      <c r="B200" s="67" t="s">
        <v>1</v>
      </c>
      <c r="C200" s="66" t="s">
        <v>3</v>
      </c>
      <c r="D200" s="66" t="s">
        <v>4</v>
      </c>
      <c r="E200" s="66" t="s">
        <v>5</v>
      </c>
      <c r="F200" s="66" t="s">
        <v>6</v>
      </c>
      <c r="G200" s="66" t="s">
        <v>2</v>
      </c>
    </row>
    <row r="201" spans="1:7" x14ac:dyDescent="0.2">
      <c r="A201" s="56">
        <v>1</v>
      </c>
      <c r="B201" s="45">
        <v>45658</v>
      </c>
      <c r="C201" s="46" t="s">
        <v>7</v>
      </c>
      <c r="D201" s="47"/>
      <c r="E201" s="47"/>
      <c r="F201" s="47">
        <f>D201</f>
        <v>0</v>
      </c>
      <c r="G201" s="56"/>
    </row>
    <row r="202" spans="1:7" x14ac:dyDescent="0.2">
      <c r="A202" s="57">
        <v>2</v>
      </c>
      <c r="B202" s="36"/>
      <c r="C202" s="48"/>
      <c r="D202" s="50"/>
      <c r="E202" s="50"/>
      <c r="F202" s="50">
        <f>F201+D202-E202</f>
        <v>0</v>
      </c>
      <c r="G202" s="57"/>
    </row>
    <row r="203" spans="1:7" x14ac:dyDescent="0.2">
      <c r="A203" s="56">
        <v>3</v>
      </c>
      <c r="B203" s="36"/>
      <c r="C203" s="48"/>
      <c r="D203" s="50"/>
      <c r="E203" s="50"/>
      <c r="F203" s="50">
        <f t="shared" ref="F203:F205" si="11">F202+D203-E203</f>
        <v>0</v>
      </c>
      <c r="G203" s="57"/>
    </row>
    <row r="204" spans="1:7" x14ac:dyDescent="0.2">
      <c r="A204" s="57">
        <v>4</v>
      </c>
      <c r="B204" s="36"/>
      <c r="C204" s="48"/>
      <c r="D204" s="50"/>
      <c r="E204" s="50"/>
      <c r="F204" s="50">
        <f t="shared" si="11"/>
        <v>0</v>
      </c>
      <c r="G204" s="57"/>
    </row>
    <row r="205" spans="1:7" x14ac:dyDescent="0.2">
      <c r="A205" s="56">
        <v>5</v>
      </c>
      <c r="B205" s="36"/>
      <c r="C205" s="48"/>
      <c r="D205" s="50"/>
      <c r="E205" s="50"/>
      <c r="F205" s="50">
        <f t="shared" si="11"/>
        <v>0</v>
      </c>
      <c r="G205" s="57"/>
    </row>
    <row r="206" spans="1:7" s="70" customFormat="1" ht="15" customHeight="1" x14ac:dyDescent="0.25">
      <c r="A206" s="58"/>
      <c r="B206" s="44"/>
      <c r="C206" s="59"/>
      <c r="D206" s="72"/>
      <c r="E206" s="72"/>
      <c r="F206" s="61"/>
      <c r="G206" s="58"/>
    </row>
    <row r="208" spans="1:7" ht="15.75" x14ac:dyDescent="0.25">
      <c r="A208" s="64" t="s">
        <v>8</v>
      </c>
      <c r="B208" s="65"/>
      <c r="C208" s="64" t="s">
        <v>63</v>
      </c>
      <c r="D208" s="65"/>
      <c r="E208" s="65"/>
      <c r="F208" s="65"/>
      <c r="G208" s="65"/>
    </row>
    <row r="209" spans="1:7" ht="15.75" x14ac:dyDescent="0.25">
      <c r="A209" s="64" t="s">
        <v>9</v>
      </c>
      <c r="B209" s="65"/>
      <c r="C209" s="64" t="s">
        <v>45</v>
      </c>
      <c r="D209" s="65"/>
      <c r="E209" s="65"/>
      <c r="F209" s="65"/>
      <c r="G209" s="65"/>
    </row>
    <row r="211" spans="1:7" x14ac:dyDescent="0.2">
      <c r="A211" s="66" t="s">
        <v>0</v>
      </c>
      <c r="B211" s="67" t="s">
        <v>1</v>
      </c>
      <c r="C211" s="66" t="s">
        <v>3</v>
      </c>
      <c r="D211" s="66" t="s">
        <v>4</v>
      </c>
      <c r="E211" s="66" t="s">
        <v>5</v>
      </c>
      <c r="F211" s="66" t="s">
        <v>6</v>
      </c>
      <c r="G211" s="66" t="s">
        <v>2</v>
      </c>
    </row>
    <row r="212" spans="1:7" x14ac:dyDescent="0.2">
      <c r="A212" s="56">
        <v>1</v>
      </c>
      <c r="B212" s="45">
        <v>45658</v>
      </c>
      <c r="C212" s="46" t="s">
        <v>7</v>
      </c>
      <c r="D212" s="47"/>
      <c r="E212" s="47"/>
      <c r="F212" s="47">
        <f>D212</f>
        <v>0</v>
      </c>
      <c r="G212" s="56"/>
    </row>
    <row r="213" spans="1:7" x14ac:dyDescent="0.2">
      <c r="A213" s="57">
        <v>2</v>
      </c>
      <c r="B213" s="36"/>
      <c r="C213" s="48"/>
      <c r="D213" s="50"/>
      <c r="E213" s="50"/>
      <c r="F213" s="50"/>
      <c r="G213" s="57"/>
    </row>
    <row r="214" spans="1:7" x14ac:dyDescent="0.2">
      <c r="A214" s="56">
        <v>3</v>
      </c>
      <c r="B214" s="36"/>
      <c r="C214" s="48"/>
      <c r="D214" s="50"/>
      <c r="E214" s="50"/>
      <c r="F214" s="50"/>
      <c r="G214" s="57"/>
    </row>
    <row r="215" spans="1:7" x14ac:dyDescent="0.2">
      <c r="A215" s="57">
        <v>4</v>
      </c>
      <c r="B215" s="36"/>
      <c r="C215" s="48"/>
      <c r="D215" s="50"/>
      <c r="E215" s="50"/>
      <c r="F215" s="50"/>
      <c r="G215" s="57"/>
    </row>
    <row r="216" spans="1:7" x14ac:dyDescent="0.2">
      <c r="A216" s="56">
        <v>5</v>
      </c>
      <c r="B216" s="36"/>
      <c r="C216" s="48"/>
      <c r="D216" s="50"/>
      <c r="E216" s="50"/>
      <c r="F216" s="50"/>
      <c r="G216" s="57"/>
    </row>
    <row r="217" spans="1:7" x14ac:dyDescent="0.2">
      <c r="A217" s="57">
        <v>6</v>
      </c>
      <c r="B217" s="36"/>
      <c r="C217" s="48"/>
      <c r="D217" s="50"/>
      <c r="E217" s="52"/>
      <c r="F217" s="50"/>
      <c r="G217" s="57"/>
    </row>
    <row r="218" spans="1:7" x14ac:dyDescent="0.2">
      <c r="A218" s="56">
        <v>7</v>
      </c>
      <c r="B218" s="36"/>
      <c r="C218" s="48"/>
      <c r="D218" s="52"/>
      <c r="E218" s="50"/>
      <c r="F218" s="50"/>
      <c r="G218" s="57"/>
    </row>
    <row r="219" spans="1:7" x14ac:dyDescent="0.2">
      <c r="A219" s="57">
        <v>8</v>
      </c>
      <c r="B219" s="36"/>
      <c r="C219" s="48"/>
      <c r="D219" s="52"/>
      <c r="E219" s="52"/>
      <c r="F219" s="50"/>
      <c r="G219" s="57"/>
    </row>
    <row r="220" spans="1:7" x14ac:dyDescent="0.2">
      <c r="A220" s="56">
        <v>9</v>
      </c>
      <c r="B220" s="36"/>
      <c r="C220" s="48"/>
      <c r="D220" s="50"/>
      <c r="E220" s="50"/>
      <c r="F220" s="50"/>
      <c r="G220" s="57"/>
    </row>
    <row r="221" spans="1:7" x14ac:dyDescent="0.2">
      <c r="A221" s="57">
        <v>10</v>
      </c>
      <c r="B221" s="36"/>
      <c r="C221" s="48"/>
      <c r="D221" s="50"/>
      <c r="E221" s="52"/>
      <c r="F221" s="50"/>
      <c r="G221" s="74"/>
    </row>
    <row r="222" spans="1:7" x14ac:dyDescent="0.2">
      <c r="A222" s="56">
        <v>11</v>
      </c>
      <c r="B222" s="36"/>
      <c r="C222" s="48"/>
      <c r="D222" s="52"/>
      <c r="E222" s="50"/>
      <c r="F222" s="50"/>
      <c r="G222" s="74"/>
    </row>
    <row r="223" spans="1:7" x14ac:dyDescent="0.2">
      <c r="A223" s="57">
        <v>12</v>
      </c>
      <c r="B223" s="43"/>
      <c r="C223" s="48"/>
      <c r="D223" s="50"/>
      <c r="E223" s="52"/>
      <c r="F223" s="50"/>
      <c r="G223" s="74"/>
    </row>
    <row r="224" spans="1:7" x14ac:dyDescent="0.2">
      <c r="A224" s="56">
        <v>13</v>
      </c>
      <c r="B224" s="43"/>
      <c r="C224" s="48"/>
      <c r="D224" s="52"/>
      <c r="E224" s="50"/>
      <c r="F224" s="50"/>
      <c r="G224" s="74"/>
    </row>
    <row r="225" spans="1:7" x14ac:dyDescent="0.2">
      <c r="A225" s="58"/>
      <c r="B225" s="44"/>
      <c r="C225" s="59"/>
      <c r="D225" s="72"/>
      <c r="E225" s="72"/>
      <c r="F225" s="61"/>
      <c r="G225" s="58"/>
    </row>
    <row r="227" spans="1:7" ht="15.75" x14ac:dyDescent="0.25">
      <c r="A227" s="64" t="s">
        <v>8</v>
      </c>
      <c r="B227" s="65"/>
      <c r="C227" s="64" t="s">
        <v>114</v>
      </c>
      <c r="D227" s="65"/>
      <c r="E227" s="65"/>
      <c r="F227" s="65"/>
      <c r="G227" s="65"/>
    </row>
    <row r="228" spans="1:7" ht="15.75" x14ac:dyDescent="0.25">
      <c r="A228" s="64" t="s">
        <v>100</v>
      </c>
      <c r="B228" s="65"/>
      <c r="C228" s="64" t="s">
        <v>72</v>
      </c>
      <c r="D228" s="65"/>
      <c r="E228" s="65"/>
      <c r="F228" s="65"/>
      <c r="G228" s="65"/>
    </row>
    <row r="230" spans="1:7" x14ac:dyDescent="0.2">
      <c r="A230" s="66" t="s">
        <v>0</v>
      </c>
      <c r="B230" s="67" t="s">
        <v>1</v>
      </c>
      <c r="C230" s="66" t="s">
        <v>3</v>
      </c>
      <c r="D230" s="66" t="s">
        <v>4</v>
      </c>
      <c r="E230" s="66" t="s">
        <v>5</v>
      </c>
      <c r="F230" s="66" t="s">
        <v>6</v>
      </c>
      <c r="G230" s="66" t="s">
        <v>2</v>
      </c>
    </row>
    <row r="231" spans="1:7" x14ac:dyDescent="0.2">
      <c r="A231" s="56">
        <v>1</v>
      </c>
      <c r="B231" s="45">
        <v>45658</v>
      </c>
      <c r="C231" s="46" t="s">
        <v>7</v>
      </c>
      <c r="D231" s="47"/>
      <c r="E231" s="47"/>
      <c r="F231" s="47">
        <f>D231</f>
        <v>0</v>
      </c>
      <c r="G231" s="56"/>
    </row>
    <row r="232" spans="1:7" x14ac:dyDescent="0.2">
      <c r="A232" s="56">
        <v>2</v>
      </c>
      <c r="B232" s="45">
        <v>45764</v>
      </c>
      <c r="C232" s="48" t="s">
        <v>97</v>
      </c>
      <c r="D232" s="51">
        <v>1</v>
      </c>
      <c r="E232" s="52"/>
      <c r="F232" s="47">
        <f>F231+D232-E232</f>
        <v>1</v>
      </c>
      <c r="G232" s="74" t="s">
        <v>50</v>
      </c>
    </row>
    <row r="233" spans="1:7" x14ac:dyDescent="0.2">
      <c r="A233" s="57">
        <v>3</v>
      </c>
      <c r="B233" s="45">
        <v>45764</v>
      </c>
      <c r="C233" s="48" t="s">
        <v>11</v>
      </c>
      <c r="D233" s="51"/>
      <c r="E233" s="52">
        <v>1</v>
      </c>
      <c r="F233" s="47">
        <f t="shared" ref="F233:F234" si="12">F232+D233-E233</f>
        <v>0</v>
      </c>
      <c r="G233" s="74" t="s">
        <v>50</v>
      </c>
    </row>
    <row r="234" spans="1:7" x14ac:dyDescent="0.2">
      <c r="A234" s="57">
        <v>4</v>
      </c>
      <c r="B234" s="45">
        <v>45871</v>
      </c>
      <c r="C234" s="48" t="s">
        <v>97</v>
      </c>
      <c r="D234" s="53">
        <v>1</v>
      </c>
      <c r="E234" s="50"/>
      <c r="F234" s="47">
        <f t="shared" si="12"/>
        <v>1</v>
      </c>
      <c r="G234" s="74" t="s">
        <v>50</v>
      </c>
    </row>
    <row r="235" spans="1:7" x14ac:dyDescent="0.2">
      <c r="A235" s="56">
        <v>5</v>
      </c>
      <c r="B235" s="45">
        <v>45871</v>
      </c>
      <c r="C235" s="48" t="s">
        <v>11</v>
      </c>
      <c r="D235" s="53"/>
      <c r="E235" s="50">
        <v>1</v>
      </c>
      <c r="F235" s="47">
        <f t="shared" ref="F235:F240" si="13">F234+D235-E235</f>
        <v>0</v>
      </c>
      <c r="G235" s="74" t="s">
        <v>50</v>
      </c>
    </row>
    <row r="236" spans="1:7" x14ac:dyDescent="0.2">
      <c r="A236" s="57">
        <v>6</v>
      </c>
      <c r="B236" s="36">
        <v>46008</v>
      </c>
      <c r="C236" s="48" t="s">
        <v>97</v>
      </c>
      <c r="D236" s="53">
        <v>1</v>
      </c>
      <c r="E236" s="50"/>
      <c r="F236" s="47">
        <f t="shared" si="13"/>
        <v>1</v>
      </c>
      <c r="G236" s="74" t="s">
        <v>50</v>
      </c>
    </row>
    <row r="237" spans="1:7" x14ac:dyDescent="0.2">
      <c r="A237" s="57">
        <v>7</v>
      </c>
      <c r="B237" s="36">
        <v>46008</v>
      </c>
      <c r="C237" s="48" t="s">
        <v>11</v>
      </c>
      <c r="D237" s="53"/>
      <c r="E237" s="50">
        <v>1</v>
      </c>
      <c r="F237" s="47">
        <f t="shared" si="13"/>
        <v>0</v>
      </c>
      <c r="G237" s="57" t="s">
        <v>50</v>
      </c>
    </row>
    <row r="238" spans="1:7" x14ac:dyDescent="0.2">
      <c r="A238" s="56">
        <v>8</v>
      </c>
      <c r="B238" s="36"/>
      <c r="C238" s="48"/>
      <c r="D238" s="54"/>
      <c r="E238" s="52"/>
      <c r="F238" s="47">
        <f t="shared" si="13"/>
        <v>0</v>
      </c>
      <c r="G238" s="57"/>
    </row>
    <row r="239" spans="1:7" x14ac:dyDescent="0.2">
      <c r="A239" s="57">
        <v>9</v>
      </c>
      <c r="B239" s="43"/>
      <c r="C239" s="48"/>
      <c r="D239" s="54"/>
      <c r="E239" s="52"/>
      <c r="F239" s="47">
        <f t="shared" si="13"/>
        <v>0</v>
      </c>
      <c r="G239" s="57"/>
    </row>
    <row r="240" spans="1:7" x14ac:dyDescent="0.2">
      <c r="A240" s="57">
        <v>10</v>
      </c>
      <c r="B240" s="43"/>
      <c r="C240" s="48"/>
      <c r="D240" s="54"/>
      <c r="E240" s="52"/>
      <c r="F240" s="47">
        <f t="shared" si="13"/>
        <v>0</v>
      </c>
      <c r="G240" s="57"/>
    </row>
    <row r="241" spans="1:7" s="70" customFormat="1" ht="15" customHeight="1" x14ac:dyDescent="0.25">
      <c r="A241" s="58"/>
      <c r="B241" s="44"/>
      <c r="C241" s="59"/>
      <c r="D241" s="72"/>
      <c r="E241" s="72"/>
      <c r="F241" s="61"/>
      <c r="G241" s="58"/>
    </row>
    <row r="243" spans="1:7" ht="15.75" x14ac:dyDescent="0.25">
      <c r="A243" s="64" t="s">
        <v>8</v>
      </c>
      <c r="B243" s="65"/>
      <c r="C243" s="64" t="s">
        <v>113</v>
      </c>
      <c r="D243" s="65"/>
      <c r="E243" s="65"/>
      <c r="F243" s="65"/>
      <c r="G243" s="65"/>
    </row>
    <row r="244" spans="1:7" ht="15.75" x14ac:dyDescent="0.25">
      <c r="A244" s="64" t="s">
        <v>9</v>
      </c>
      <c r="B244" s="65"/>
      <c r="C244" s="64" t="s">
        <v>72</v>
      </c>
      <c r="D244" s="65"/>
      <c r="E244" s="65"/>
      <c r="F244" s="65"/>
      <c r="G244" s="65"/>
    </row>
    <row r="246" spans="1:7" x14ac:dyDescent="0.2">
      <c r="A246" s="66" t="s">
        <v>0</v>
      </c>
      <c r="B246" s="67" t="s">
        <v>1</v>
      </c>
      <c r="C246" s="66" t="s">
        <v>3</v>
      </c>
      <c r="D246" s="66" t="s">
        <v>4</v>
      </c>
      <c r="E246" s="66" t="s">
        <v>5</v>
      </c>
      <c r="F246" s="66" t="s">
        <v>6</v>
      </c>
      <c r="G246" s="66" t="s">
        <v>2</v>
      </c>
    </row>
    <row r="247" spans="1:7" x14ac:dyDescent="0.2">
      <c r="A247" s="56">
        <v>1</v>
      </c>
      <c r="B247" s="45">
        <v>45658</v>
      </c>
      <c r="C247" s="46" t="s">
        <v>7</v>
      </c>
      <c r="D247" s="47"/>
      <c r="E247" s="47"/>
      <c r="F247" s="47">
        <f>D247</f>
        <v>0</v>
      </c>
      <c r="G247" s="56"/>
    </row>
    <row r="248" spans="1:7" x14ac:dyDescent="0.2">
      <c r="A248" s="57">
        <v>2</v>
      </c>
      <c r="B248" s="36"/>
      <c r="C248" s="48"/>
      <c r="D248" s="50"/>
      <c r="E248" s="50"/>
      <c r="F248" s="47">
        <v>0</v>
      </c>
      <c r="G248" s="57"/>
    </row>
    <row r="249" spans="1:7" x14ac:dyDescent="0.2">
      <c r="A249" s="56">
        <v>3</v>
      </c>
      <c r="B249" s="36"/>
      <c r="C249" s="48"/>
      <c r="D249" s="50"/>
      <c r="E249" s="50"/>
      <c r="F249" s="47">
        <v>0</v>
      </c>
      <c r="G249" s="57"/>
    </row>
    <row r="250" spans="1:7" x14ac:dyDescent="0.2">
      <c r="A250" s="56">
        <v>4</v>
      </c>
      <c r="B250" s="36"/>
      <c r="C250" s="48"/>
      <c r="D250" s="50"/>
      <c r="E250" s="50"/>
      <c r="F250" s="47">
        <v>0</v>
      </c>
      <c r="G250" s="57"/>
    </row>
    <row r="251" spans="1:7" x14ac:dyDescent="0.2">
      <c r="A251" s="57">
        <v>5</v>
      </c>
      <c r="B251" s="36"/>
      <c r="C251" s="48"/>
      <c r="D251" s="50"/>
      <c r="E251" s="50"/>
      <c r="F251" s="47">
        <v>0</v>
      </c>
      <c r="G251" s="57"/>
    </row>
    <row r="252" spans="1:7" x14ac:dyDescent="0.2">
      <c r="A252" s="56">
        <v>6</v>
      </c>
      <c r="B252" s="36"/>
      <c r="C252" s="48"/>
      <c r="D252" s="50"/>
      <c r="E252" s="50"/>
      <c r="F252" s="47">
        <v>0</v>
      </c>
      <c r="G252" s="57"/>
    </row>
    <row r="253" spans="1:7" x14ac:dyDescent="0.2">
      <c r="A253" s="56">
        <v>7</v>
      </c>
      <c r="B253" s="36"/>
      <c r="C253" s="48"/>
      <c r="D253" s="50"/>
      <c r="E253" s="50"/>
      <c r="F253" s="47">
        <v>0</v>
      </c>
      <c r="G253" s="57"/>
    </row>
    <row r="254" spans="1:7" s="70" customFormat="1" ht="15" customHeight="1" x14ac:dyDescent="0.25">
      <c r="A254" s="58"/>
      <c r="B254" s="44"/>
      <c r="C254" s="59"/>
      <c r="D254" s="72"/>
      <c r="E254" s="72"/>
      <c r="F254" s="61"/>
      <c r="G254" s="58"/>
    </row>
    <row r="256" spans="1:7" ht="15.75" x14ac:dyDescent="0.25">
      <c r="A256" s="64" t="s">
        <v>8</v>
      </c>
      <c r="B256" s="65"/>
      <c r="C256" s="64" t="s">
        <v>132</v>
      </c>
      <c r="D256" s="65"/>
      <c r="E256" s="65"/>
      <c r="F256" s="65"/>
      <c r="G256" s="65"/>
    </row>
    <row r="257" spans="1:7" ht="15.75" x14ac:dyDescent="0.25">
      <c r="A257" s="64" t="s">
        <v>9</v>
      </c>
      <c r="B257" s="65"/>
      <c r="C257" s="64" t="s">
        <v>10</v>
      </c>
      <c r="D257" s="65"/>
      <c r="E257" s="65"/>
      <c r="F257" s="65"/>
      <c r="G257" s="65"/>
    </row>
    <row r="259" spans="1:7" x14ac:dyDescent="0.2">
      <c r="A259" s="66" t="s">
        <v>0</v>
      </c>
      <c r="B259" s="67" t="s">
        <v>1</v>
      </c>
      <c r="C259" s="66" t="s">
        <v>3</v>
      </c>
      <c r="D259" s="66" t="s">
        <v>4</v>
      </c>
      <c r="E259" s="66" t="s">
        <v>5</v>
      </c>
      <c r="F259" s="66" t="s">
        <v>6</v>
      </c>
      <c r="G259" s="66" t="s">
        <v>2</v>
      </c>
    </row>
    <row r="260" spans="1:7" x14ac:dyDescent="0.2">
      <c r="A260" s="56">
        <v>1</v>
      </c>
      <c r="B260" s="45">
        <v>45658</v>
      </c>
      <c r="C260" s="46" t="s">
        <v>7</v>
      </c>
      <c r="D260" s="47"/>
      <c r="E260" s="47"/>
      <c r="F260" s="47">
        <f>D260</f>
        <v>0</v>
      </c>
      <c r="G260" s="56"/>
    </row>
    <row r="261" spans="1:7" x14ac:dyDescent="0.2">
      <c r="A261" s="57">
        <v>2</v>
      </c>
      <c r="B261" s="36">
        <v>45764</v>
      </c>
      <c r="C261" s="48" t="s">
        <v>97</v>
      </c>
      <c r="D261" s="50">
        <v>12</v>
      </c>
      <c r="E261" s="50"/>
      <c r="F261" s="50">
        <f>F260+D261-E261</f>
        <v>12</v>
      </c>
      <c r="G261" s="57" t="s">
        <v>50</v>
      </c>
    </row>
    <row r="262" spans="1:7" x14ac:dyDescent="0.2">
      <c r="A262" s="57">
        <v>3</v>
      </c>
      <c r="B262" s="36">
        <v>45764</v>
      </c>
      <c r="C262" s="48" t="s">
        <v>11</v>
      </c>
      <c r="D262" s="50"/>
      <c r="E262" s="50">
        <v>10</v>
      </c>
      <c r="F262" s="50">
        <f t="shared" ref="F262:F278" si="14">F261+D262-E262</f>
        <v>2</v>
      </c>
      <c r="G262" s="57" t="s">
        <v>50</v>
      </c>
    </row>
    <row r="263" spans="1:7" x14ac:dyDescent="0.2">
      <c r="A263" s="57">
        <v>4</v>
      </c>
      <c r="B263" s="36">
        <v>45852</v>
      </c>
      <c r="C263" s="48" t="s">
        <v>137</v>
      </c>
      <c r="D263" s="50">
        <v>24</v>
      </c>
      <c r="E263" s="52"/>
      <c r="F263" s="50">
        <f t="shared" si="14"/>
        <v>26</v>
      </c>
      <c r="G263" s="57" t="s">
        <v>50</v>
      </c>
    </row>
    <row r="264" spans="1:7" x14ac:dyDescent="0.2">
      <c r="A264" s="56">
        <v>5</v>
      </c>
      <c r="B264" s="36">
        <v>45852</v>
      </c>
      <c r="C264" s="48" t="s">
        <v>11</v>
      </c>
      <c r="D264" s="52"/>
      <c r="E264" s="52">
        <v>26</v>
      </c>
      <c r="F264" s="50">
        <f t="shared" si="14"/>
        <v>0</v>
      </c>
      <c r="G264" s="57" t="s">
        <v>50</v>
      </c>
    </row>
    <row r="265" spans="1:7" x14ac:dyDescent="0.2">
      <c r="A265" s="57">
        <v>6</v>
      </c>
      <c r="B265" s="36">
        <v>45871</v>
      </c>
      <c r="C265" s="48" t="s">
        <v>97</v>
      </c>
      <c r="D265" s="52">
        <v>12</v>
      </c>
      <c r="E265" s="52"/>
      <c r="F265" s="50">
        <f t="shared" si="14"/>
        <v>12</v>
      </c>
      <c r="G265" s="57" t="s">
        <v>50</v>
      </c>
    </row>
    <row r="266" spans="1:7" x14ac:dyDescent="0.2">
      <c r="A266" s="57">
        <v>7</v>
      </c>
      <c r="B266" s="36">
        <v>45871</v>
      </c>
      <c r="C266" s="48" t="s">
        <v>11</v>
      </c>
      <c r="D266" s="52"/>
      <c r="E266" s="52">
        <v>12</v>
      </c>
      <c r="F266" s="50">
        <f t="shared" si="14"/>
        <v>0</v>
      </c>
      <c r="G266" s="57" t="s">
        <v>50</v>
      </c>
    </row>
    <row r="267" spans="1:7" x14ac:dyDescent="0.2">
      <c r="A267" s="57">
        <v>8</v>
      </c>
      <c r="B267" s="36">
        <v>45903</v>
      </c>
      <c r="C267" s="48" t="s">
        <v>97</v>
      </c>
      <c r="D267" s="52">
        <v>29</v>
      </c>
      <c r="E267" s="52"/>
      <c r="F267" s="50">
        <f t="shared" si="14"/>
        <v>29</v>
      </c>
      <c r="G267" s="57" t="s">
        <v>140</v>
      </c>
    </row>
    <row r="268" spans="1:7" x14ac:dyDescent="0.2">
      <c r="A268" s="56">
        <v>9</v>
      </c>
      <c r="B268" s="36">
        <v>45903</v>
      </c>
      <c r="C268" s="48" t="s">
        <v>11</v>
      </c>
      <c r="D268" s="52"/>
      <c r="E268" s="52">
        <v>29</v>
      </c>
      <c r="F268" s="50">
        <f t="shared" si="14"/>
        <v>0</v>
      </c>
      <c r="G268" s="57" t="s">
        <v>140</v>
      </c>
    </row>
    <row r="269" spans="1:7" x14ac:dyDescent="0.2">
      <c r="A269" s="57">
        <v>10</v>
      </c>
      <c r="B269" s="43">
        <v>45944</v>
      </c>
      <c r="C269" s="48" t="s">
        <v>97</v>
      </c>
      <c r="D269" s="52">
        <v>40</v>
      </c>
      <c r="E269" s="52"/>
      <c r="F269" s="50">
        <f t="shared" si="14"/>
        <v>40</v>
      </c>
      <c r="G269" s="57" t="s">
        <v>143</v>
      </c>
    </row>
    <row r="270" spans="1:7" x14ac:dyDescent="0.2">
      <c r="A270" s="57">
        <v>11</v>
      </c>
      <c r="B270" s="43">
        <v>45944</v>
      </c>
      <c r="C270" s="48" t="s">
        <v>11</v>
      </c>
      <c r="D270" s="52"/>
      <c r="E270" s="52">
        <v>40</v>
      </c>
      <c r="F270" s="50">
        <f t="shared" si="14"/>
        <v>0</v>
      </c>
      <c r="G270" s="57" t="s">
        <v>143</v>
      </c>
    </row>
    <row r="271" spans="1:7" x14ac:dyDescent="0.2">
      <c r="A271" s="57">
        <v>12</v>
      </c>
      <c r="B271" s="43">
        <v>46000</v>
      </c>
      <c r="C271" s="48" t="s">
        <v>97</v>
      </c>
      <c r="D271" s="52">
        <v>11</v>
      </c>
      <c r="E271" s="52"/>
      <c r="F271" s="50">
        <f t="shared" si="14"/>
        <v>11</v>
      </c>
      <c r="G271" s="57" t="s">
        <v>50</v>
      </c>
    </row>
    <row r="272" spans="1:7" x14ac:dyDescent="0.2">
      <c r="A272" s="56">
        <v>13</v>
      </c>
      <c r="B272" s="43">
        <v>46000</v>
      </c>
      <c r="C272" s="48" t="s">
        <v>11</v>
      </c>
      <c r="D272" s="52"/>
      <c r="E272" s="52">
        <v>11</v>
      </c>
      <c r="F272" s="50">
        <f t="shared" si="14"/>
        <v>0</v>
      </c>
      <c r="G272" s="57" t="s">
        <v>50</v>
      </c>
    </row>
    <row r="273" spans="1:7" x14ac:dyDescent="0.2">
      <c r="A273" s="57">
        <v>14</v>
      </c>
      <c r="B273" s="43">
        <v>46000</v>
      </c>
      <c r="C273" s="48" t="s">
        <v>97</v>
      </c>
      <c r="D273" s="52">
        <v>28</v>
      </c>
      <c r="E273" s="52"/>
      <c r="F273" s="50">
        <f t="shared" si="14"/>
        <v>28</v>
      </c>
      <c r="G273" s="57" t="s">
        <v>151</v>
      </c>
    </row>
    <row r="274" spans="1:7" x14ac:dyDescent="0.2">
      <c r="A274" s="57">
        <v>15</v>
      </c>
      <c r="B274" s="43">
        <v>46000</v>
      </c>
      <c r="C274" s="48" t="s">
        <v>11</v>
      </c>
      <c r="D274" s="52"/>
      <c r="E274" s="52">
        <v>28</v>
      </c>
      <c r="F274" s="50">
        <f t="shared" si="14"/>
        <v>0</v>
      </c>
      <c r="G274" s="57" t="s">
        <v>151</v>
      </c>
    </row>
    <row r="275" spans="1:7" x14ac:dyDescent="0.2">
      <c r="A275" s="57">
        <v>16</v>
      </c>
      <c r="B275" s="43">
        <v>46008</v>
      </c>
      <c r="C275" s="48" t="s">
        <v>97</v>
      </c>
      <c r="D275" s="52">
        <v>12</v>
      </c>
      <c r="E275" s="52"/>
      <c r="F275" s="50">
        <f t="shared" si="14"/>
        <v>12</v>
      </c>
      <c r="G275" s="57" t="s">
        <v>158</v>
      </c>
    </row>
    <row r="276" spans="1:7" x14ac:dyDescent="0.2">
      <c r="A276" s="56">
        <v>17</v>
      </c>
      <c r="B276" s="43">
        <v>46008</v>
      </c>
      <c r="C276" s="48" t="s">
        <v>11</v>
      </c>
      <c r="D276" s="52"/>
      <c r="E276" s="52">
        <v>12</v>
      </c>
      <c r="F276" s="50">
        <f t="shared" si="14"/>
        <v>0</v>
      </c>
      <c r="G276" s="57" t="s">
        <v>158</v>
      </c>
    </row>
    <row r="277" spans="1:7" x14ac:dyDescent="0.2">
      <c r="A277" s="57">
        <v>18</v>
      </c>
      <c r="B277" s="43"/>
      <c r="C277" s="48"/>
      <c r="D277" s="52"/>
      <c r="E277" s="52"/>
      <c r="F277" s="50">
        <f t="shared" si="14"/>
        <v>0</v>
      </c>
      <c r="G277" s="57"/>
    </row>
    <row r="278" spans="1:7" x14ac:dyDescent="0.2">
      <c r="A278" s="57">
        <v>19</v>
      </c>
      <c r="B278" s="43"/>
      <c r="C278" s="48"/>
      <c r="D278" s="52"/>
      <c r="E278" s="52"/>
      <c r="F278" s="50">
        <f t="shared" si="14"/>
        <v>0</v>
      </c>
      <c r="G278" s="57"/>
    </row>
    <row r="279" spans="1:7" x14ac:dyDescent="0.2">
      <c r="A279" s="57">
        <v>20</v>
      </c>
      <c r="B279" s="43"/>
      <c r="C279" s="48"/>
      <c r="D279" s="52"/>
      <c r="E279" s="52"/>
      <c r="F279" s="50"/>
      <c r="G279" s="57"/>
    </row>
    <row r="280" spans="1:7" x14ac:dyDescent="0.2">
      <c r="A280" s="57"/>
      <c r="B280" s="43"/>
      <c r="C280" s="48"/>
      <c r="D280" s="52"/>
      <c r="E280" s="52"/>
      <c r="F280" s="50"/>
      <c r="G280" s="74"/>
    </row>
    <row r="281" spans="1:7" s="70" customFormat="1" ht="15" customHeight="1" x14ac:dyDescent="0.25">
      <c r="A281" s="58"/>
      <c r="B281" s="44"/>
      <c r="C281" s="59"/>
      <c r="D281" s="72"/>
      <c r="E281" s="72"/>
      <c r="F281" s="61"/>
      <c r="G281" s="58"/>
    </row>
    <row r="283" spans="1:7" ht="15.75" x14ac:dyDescent="0.25">
      <c r="A283" s="64" t="s">
        <v>8</v>
      </c>
      <c r="B283" s="65"/>
      <c r="C283" s="64" t="s">
        <v>73</v>
      </c>
      <c r="D283" s="65"/>
      <c r="E283" s="65"/>
      <c r="F283" s="65"/>
      <c r="G283" s="65"/>
    </row>
    <row r="284" spans="1:7" ht="15.75" x14ac:dyDescent="0.25">
      <c r="A284" s="64" t="s">
        <v>9</v>
      </c>
      <c r="B284" s="65"/>
      <c r="C284" s="64" t="s">
        <v>10</v>
      </c>
      <c r="D284" s="65"/>
      <c r="E284" s="65"/>
      <c r="F284" s="65"/>
      <c r="G284" s="65"/>
    </row>
    <row r="286" spans="1:7" x14ac:dyDescent="0.2">
      <c r="A286" s="66" t="s">
        <v>0</v>
      </c>
      <c r="B286" s="67" t="s">
        <v>1</v>
      </c>
      <c r="C286" s="66" t="s">
        <v>3</v>
      </c>
      <c r="D286" s="66" t="s">
        <v>4</v>
      </c>
      <c r="E286" s="66" t="s">
        <v>5</v>
      </c>
      <c r="F286" s="66" t="s">
        <v>6</v>
      </c>
      <c r="G286" s="66" t="s">
        <v>2</v>
      </c>
    </row>
    <row r="287" spans="1:7" x14ac:dyDescent="0.2">
      <c r="A287" s="56">
        <v>1</v>
      </c>
      <c r="B287" s="75">
        <v>45658</v>
      </c>
      <c r="C287" s="46" t="s">
        <v>7</v>
      </c>
      <c r="D287" s="47"/>
      <c r="E287" s="47"/>
      <c r="F287" s="47">
        <f>D287</f>
        <v>0</v>
      </c>
      <c r="G287" s="56"/>
    </row>
    <row r="288" spans="1:7" x14ac:dyDescent="0.2">
      <c r="A288" s="57">
        <v>2</v>
      </c>
      <c r="B288" s="43"/>
      <c r="C288" s="48"/>
      <c r="D288" s="50"/>
      <c r="E288" s="50"/>
      <c r="F288" s="47">
        <f>F287+D288-E288</f>
        <v>0</v>
      </c>
      <c r="G288" s="74"/>
    </row>
    <row r="289" spans="1:7" x14ac:dyDescent="0.2">
      <c r="A289" s="56">
        <v>3</v>
      </c>
      <c r="B289" s="43"/>
      <c r="C289" s="48"/>
      <c r="D289" s="50"/>
      <c r="E289" s="50"/>
      <c r="F289" s="47">
        <f t="shared" ref="F289:F291" si="15">F288+D289-E289</f>
        <v>0</v>
      </c>
      <c r="G289" s="74"/>
    </row>
    <row r="290" spans="1:7" x14ac:dyDescent="0.2">
      <c r="A290" s="57">
        <v>4</v>
      </c>
      <c r="B290" s="76"/>
      <c r="C290" s="48"/>
      <c r="D290" s="50"/>
      <c r="E290" s="50"/>
      <c r="F290" s="47">
        <f t="shared" si="15"/>
        <v>0</v>
      </c>
      <c r="G290" s="74"/>
    </row>
    <row r="291" spans="1:7" x14ac:dyDescent="0.2">
      <c r="A291" s="56">
        <v>5</v>
      </c>
      <c r="B291" s="76"/>
      <c r="C291" s="48"/>
      <c r="D291" s="50"/>
      <c r="E291" s="50"/>
      <c r="F291" s="47">
        <f t="shared" si="15"/>
        <v>0</v>
      </c>
      <c r="G291" s="74"/>
    </row>
    <row r="292" spans="1:7" x14ac:dyDescent="0.2">
      <c r="A292" s="58"/>
      <c r="B292" s="77"/>
      <c r="C292" s="59"/>
      <c r="D292" s="72"/>
      <c r="E292" s="72"/>
      <c r="F292" s="61"/>
      <c r="G292" s="58"/>
    </row>
    <row r="293" spans="1:7" x14ac:dyDescent="0.2">
      <c r="A293" s="78"/>
      <c r="B293" s="79"/>
      <c r="C293" s="80"/>
      <c r="D293" s="81"/>
      <c r="E293" s="81"/>
      <c r="F293" s="82"/>
      <c r="G293" s="78"/>
    </row>
    <row r="294" spans="1:7" ht="15.75" x14ac:dyDescent="0.25">
      <c r="A294" s="64" t="s">
        <v>8</v>
      </c>
      <c r="B294" s="65"/>
      <c r="C294" s="64" t="s">
        <v>74</v>
      </c>
      <c r="D294" s="65"/>
      <c r="E294" s="65"/>
      <c r="F294" s="65"/>
      <c r="G294" s="65"/>
    </row>
    <row r="295" spans="1:7" ht="15.75" x14ac:dyDescent="0.25">
      <c r="A295" s="64" t="s">
        <v>9</v>
      </c>
      <c r="B295" s="65"/>
      <c r="C295" s="64" t="s">
        <v>10</v>
      </c>
      <c r="D295" s="65"/>
      <c r="E295" s="65"/>
      <c r="F295" s="65"/>
      <c r="G295" s="65"/>
    </row>
    <row r="297" spans="1:7" x14ac:dyDescent="0.2">
      <c r="A297" s="66" t="s">
        <v>0</v>
      </c>
      <c r="B297" s="67" t="s">
        <v>1</v>
      </c>
      <c r="C297" s="66" t="s">
        <v>3</v>
      </c>
      <c r="D297" s="66" t="s">
        <v>4</v>
      </c>
      <c r="E297" s="66" t="s">
        <v>5</v>
      </c>
      <c r="F297" s="66" t="s">
        <v>6</v>
      </c>
      <c r="G297" s="66" t="s">
        <v>2</v>
      </c>
    </row>
    <row r="298" spans="1:7" x14ac:dyDescent="0.2">
      <c r="A298" s="56">
        <v>1</v>
      </c>
      <c r="B298" s="75">
        <v>45658</v>
      </c>
      <c r="C298" s="46" t="s">
        <v>7</v>
      </c>
      <c r="D298" s="47"/>
      <c r="E298" s="47"/>
      <c r="F298" s="47">
        <f>D298</f>
        <v>0</v>
      </c>
      <c r="G298" s="56"/>
    </row>
    <row r="299" spans="1:7" x14ac:dyDescent="0.2">
      <c r="A299" s="57">
        <v>2</v>
      </c>
      <c r="B299" s="36"/>
      <c r="C299" s="48"/>
      <c r="D299" s="50"/>
      <c r="E299" s="50"/>
      <c r="F299" s="50">
        <f>F298+D299-E299</f>
        <v>0</v>
      </c>
      <c r="G299" s="74"/>
    </row>
    <row r="300" spans="1:7" x14ac:dyDescent="0.2">
      <c r="A300" s="57">
        <v>3</v>
      </c>
      <c r="B300" s="36"/>
      <c r="C300" s="48"/>
      <c r="D300" s="50"/>
      <c r="E300" s="50"/>
      <c r="F300" s="50">
        <f t="shared" ref="F300" si="16">F299+D300-E300</f>
        <v>0</v>
      </c>
      <c r="G300" s="74"/>
    </row>
    <row r="301" spans="1:7" x14ac:dyDescent="0.2">
      <c r="A301" s="58"/>
      <c r="B301" s="77"/>
      <c r="C301" s="59"/>
      <c r="D301" s="72"/>
      <c r="E301" s="72"/>
      <c r="F301" s="61"/>
      <c r="G301" s="58"/>
    </row>
    <row r="302" spans="1:7" x14ac:dyDescent="0.2">
      <c r="A302" s="78"/>
      <c r="B302" s="79"/>
      <c r="C302" s="80"/>
      <c r="D302" s="81"/>
      <c r="E302" s="81"/>
      <c r="F302" s="82"/>
      <c r="G302" s="78"/>
    </row>
    <row r="303" spans="1:7" ht="15.75" x14ac:dyDescent="0.25">
      <c r="A303" s="64" t="s">
        <v>8</v>
      </c>
      <c r="B303" s="65"/>
      <c r="C303" s="64" t="s">
        <v>101</v>
      </c>
      <c r="D303" s="65"/>
      <c r="E303" s="65"/>
      <c r="F303" s="65"/>
      <c r="G303" s="65"/>
    </row>
    <row r="304" spans="1:7" ht="15.75" x14ac:dyDescent="0.25">
      <c r="A304" s="64" t="s">
        <v>9</v>
      </c>
      <c r="B304" s="65"/>
      <c r="C304" s="64" t="s">
        <v>10</v>
      </c>
      <c r="D304" s="65"/>
      <c r="E304" s="65"/>
      <c r="F304" s="65"/>
      <c r="G304" s="65"/>
    </row>
    <row r="306" spans="1:7" x14ac:dyDescent="0.2">
      <c r="A306" s="66" t="s">
        <v>0</v>
      </c>
      <c r="B306" s="67" t="s">
        <v>1</v>
      </c>
      <c r="C306" s="66" t="s">
        <v>3</v>
      </c>
      <c r="D306" s="66" t="s">
        <v>4</v>
      </c>
      <c r="E306" s="66" t="s">
        <v>5</v>
      </c>
      <c r="F306" s="66" t="s">
        <v>6</v>
      </c>
      <c r="G306" s="66" t="s">
        <v>2</v>
      </c>
    </row>
    <row r="307" spans="1:7" x14ac:dyDescent="0.2">
      <c r="A307" s="56">
        <v>1</v>
      </c>
      <c r="B307" s="75">
        <v>45658</v>
      </c>
      <c r="C307" s="46" t="s">
        <v>7</v>
      </c>
      <c r="D307" s="47"/>
      <c r="E307" s="47"/>
      <c r="F307" s="47">
        <f>D307</f>
        <v>0</v>
      </c>
      <c r="G307" s="56"/>
    </row>
    <row r="308" spans="1:7" x14ac:dyDescent="0.2">
      <c r="A308" s="57">
        <v>2</v>
      </c>
      <c r="B308" s="36"/>
      <c r="C308" s="48"/>
      <c r="D308" s="50"/>
      <c r="E308" s="50"/>
      <c r="F308" s="50">
        <f>F307+D308-E308</f>
        <v>0</v>
      </c>
      <c r="G308" s="74"/>
    </row>
    <row r="309" spans="1:7" x14ac:dyDescent="0.2">
      <c r="A309" s="57">
        <v>3</v>
      </c>
      <c r="B309" s="36"/>
      <c r="C309" s="48"/>
      <c r="D309" s="50"/>
      <c r="E309" s="50"/>
      <c r="F309" s="50">
        <f t="shared" ref="F309" si="17">F308+D309-E309</f>
        <v>0</v>
      </c>
      <c r="G309" s="74"/>
    </row>
    <row r="310" spans="1:7" x14ac:dyDescent="0.2">
      <c r="A310" s="58"/>
      <c r="B310" s="77"/>
      <c r="C310" s="59"/>
      <c r="D310" s="72"/>
      <c r="E310" s="72"/>
      <c r="F310" s="61"/>
      <c r="G310" s="58"/>
    </row>
    <row r="311" spans="1:7" x14ac:dyDescent="0.2">
      <c r="A311" s="78"/>
      <c r="B311" s="79"/>
      <c r="C311" s="80"/>
      <c r="D311" s="81"/>
      <c r="E311" s="81"/>
      <c r="F311" s="82"/>
      <c r="G311" s="78"/>
    </row>
    <row r="312" spans="1:7" ht="15.75" x14ac:dyDescent="0.25">
      <c r="A312" s="64" t="s">
        <v>8</v>
      </c>
      <c r="B312" s="65"/>
      <c r="C312" s="64" t="s">
        <v>75</v>
      </c>
      <c r="D312" s="65"/>
      <c r="E312" s="65"/>
      <c r="F312" s="65"/>
      <c r="G312" s="65"/>
    </row>
    <row r="313" spans="1:7" ht="15.75" x14ac:dyDescent="0.25">
      <c r="A313" s="64" t="s">
        <v>9</v>
      </c>
      <c r="B313" s="65"/>
      <c r="C313" s="64" t="s">
        <v>10</v>
      </c>
      <c r="D313" s="65"/>
      <c r="E313" s="65"/>
      <c r="F313" s="65"/>
      <c r="G313" s="65"/>
    </row>
    <row r="315" spans="1:7" x14ac:dyDescent="0.2">
      <c r="A315" s="66" t="s">
        <v>0</v>
      </c>
      <c r="B315" s="67" t="s">
        <v>1</v>
      </c>
      <c r="C315" s="66" t="s">
        <v>3</v>
      </c>
      <c r="D315" s="66" t="s">
        <v>4</v>
      </c>
      <c r="E315" s="66" t="s">
        <v>5</v>
      </c>
      <c r="F315" s="66" t="s">
        <v>6</v>
      </c>
      <c r="G315" s="66" t="s">
        <v>2</v>
      </c>
    </row>
    <row r="316" spans="1:7" x14ac:dyDescent="0.2">
      <c r="A316" s="56">
        <v>1</v>
      </c>
      <c r="B316" s="36">
        <v>45658</v>
      </c>
      <c r="C316" s="46" t="s">
        <v>7</v>
      </c>
      <c r="D316" s="47"/>
      <c r="E316" s="47"/>
      <c r="F316" s="47">
        <f>D316</f>
        <v>0</v>
      </c>
      <c r="G316" s="56"/>
    </row>
    <row r="317" spans="1:7" x14ac:dyDescent="0.2">
      <c r="A317" s="57">
        <v>2</v>
      </c>
      <c r="B317" s="36">
        <v>45764</v>
      </c>
      <c r="C317" s="48" t="s">
        <v>97</v>
      </c>
      <c r="D317" s="50">
        <v>2</v>
      </c>
      <c r="E317" s="50"/>
      <c r="F317" s="50">
        <f>F316+D317-E317</f>
        <v>2</v>
      </c>
      <c r="G317" s="74" t="s">
        <v>50</v>
      </c>
    </row>
    <row r="318" spans="1:7" x14ac:dyDescent="0.2">
      <c r="A318" s="57">
        <v>3</v>
      </c>
      <c r="B318" s="36">
        <v>45764</v>
      </c>
      <c r="C318" s="48" t="s">
        <v>11</v>
      </c>
      <c r="D318" s="50"/>
      <c r="E318" s="50">
        <v>2</v>
      </c>
      <c r="F318" s="50">
        <f t="shared" ref="F318:F320" si="18">F317+D318-E318</f>
        <v>0</v>
      </c>
      <c r="G318" s="74" t="s">
        <v>50</v>
      </c>
    </row>
    <row r="319" spans="1:7" x14ac:dyDescent="0.2">
      <c r="A319" s="57">
        <v>4</v>
      </c>
      <c r="B319" s="43"/>
      <c r="C319" s="48"/>
      <c r="D319" s="52"/>
      <c r="E319" s="52"/>
      <c r="F319" s="50">
        <f t="shared" si="18"/>
        <v>0</v>
      </c>
      <c r="G319" s="74"/>
    </row>
    <row r="320" spans="1:7" x14ac:dyDescent="0.2">
      <c r="A320" s="57">
        <v>5</v>
      </c>
      <c r="B320" s="43"/>
      <c r="C320" s="48"/>
      <c r="D320" s="52"/>
      <c r="E320" s="52"/>
      <c r="F320" s="50">
        <f t="shared" si="18"/>
        <v>0</v>
      </c>
      <c r="G320" s="74"/>
    </row>
    <row r="321" spans="1:7" x14ac:dyDescent="0.2">
      <c r="A321" s="58"/>
      <c r="B321" s="77"/>
      <c r="C321" s="59"/>
      <c r="D321" s="72"/>
      <c r="E321" s="72"/>
      <c r="F321" s="61"/>
      <c r="G321" s="58"/>
    </row>
    <row r="322" spans="1:7" x14ac:dyDescent="0.2">
      <c r="A322" s="78"/>
      <c r="B322" s="79"/>
      <c r="C322" s="80"/>
      <c r="D322" s="81"/>
      <c r="E322" s="81"/>
      <c r="F322" s="82"/>
      <c r="G322" s="78"/>
    </row>
    <row r="323" spans="1:7" ht="15.75" x14ac:dyDescent="0.25">
      <c r="A323" s="64" t="s">
        <v>8</v>
      </c>
      <c r="B323" s="65"/>
      <c r="C323" s="64" t="s">
        <v>46</v>
      </c>
      <c r="D323" s="65"/>
      <c r="E323" s="65"/>
      <c r="F323" s="65"/>
      <c r="G323" s="65"/>
    </row>
    <row r="324" spans="1:7" ht="15.75" x14ac:dyDescent="0.25">
      <c r="A324" s="64" t="s">
        <v>9</v>
      </c>
      <c r="B324" s="65"/>
      <c r="C324" s="64" t="s">
        <v>10</v>
      </c>
      <c r="D324" s="65"/>
      <c r="E324" s="65"/>
      <c r="F324" s="65"/>
      <c r="G324" s="65"/>
    </row>
    <row r="326" spans="1:7" x14ac:dyDescent="0.2">
      <c r="A326" s="66" t="s">
        <v>0</v>
      </c>
      <c r="B326" s="67" t="s">
        <v>1</v>
      </c>
      <c r="C326" s="66" t="s">
        <v>3</v>
      </c>
      <c r="D326" s="66" t="s">
        <v>4</v>
      </c>
      <c r="E326" s="66" t="s">
        <v>5</v>
      </c>
      <c r="F326" s="66" t="s">
        <v>6</v>
      </c>
      <c r="G326" s="66" t="s">
        <v>2</v>
      </c>
    </row>
    <row r="327" spans="1:7" x14ac:dyDescent="0.2">
      <c r="A327" s="56">
        <v>1</v>
      </c>
      <c r="B327" s="36">
        <v>45658</v>
      </c>
      <c r="C327" s="46" t="s">
        <v>7</v>
      </c>
      <c r="D327" s="47"/>
      <c r="E327" s="47"/>
      <c r="F327" s="47">
        <f>D327</f>
        <v>0</v>
      </c>
      <c r="G327" s="56"/>
    </row>
    <row r="328" spans="1:7" x14ac:dyDescent="0.2">
      <c r="A328" s="57">
        <v>2</v>
      </c>
      <c r="B328" s="36">
        <v>45764</v>
      </c>
      <c r="C328" s="48" t="s">
        <v>97</v>
      </c>
      <c r="D328" s="50">
        <v>3</v>
      </c>
      <c r="E328" s="50"/>
      <c r="F328" s="50">
        <f>F327+D328-E328</f>
        <v>3</v>
      </c>
      <c r="G328" s="74" t="s">
        <v>42</v>
      </c>
    </row>
    <row r="329" spans="1:7" x14ac:dyDescent="0.2">
      <c r="A329" s="56">
        <v>3</v>
      </c>
      <c r="B329" s="36">
        <v>45764</v>
      </c>
      <c r="C329" s="48" t="s">
        <v>11</v>
      </c>
      <c r="D329" s="50"/>
      <c r="E329" s="50">
        <v>2</v>
      </c>
      <c r="F329" s="50">
        <f t="shared" ref="F329:F336" si="19">F328+D329-E329</f>
        <v>1</v>
      </c>
      <c r="G329" s="74" t="s">
        <v>42</v>
      </c>
    </row>
    <row r="330" spans="1:7" x14ac:dyDescent="0.2">
      <c r="A330" s="57">
        <v>4</v>
      </c>
      <c r="B330" s="36">
        <v>45871</v>
      </c>
      <c r="C330" s="48" t="s">
        <v>97</v>
      </c>
      <c r="D330" s="50">
        <v>1</v>
      </c>
      <c r="E330" s="50"/>
      <c r="F330" s="50">
        <f t="shared" si="19"/>
        <v>2</v>
      </c>
      <c r="G330" s="74" t="s">
        <v>42</v>
      </c>
    </row>
    <row r="331" spans="1:7" x14ac:dyDescent="0.2">
      <c r="A331" s="56">
        <v>5</v>
      </c>
      <c r="B331" s="36">
        <v>45871</v>
      </c>
      <c r="C331" s="48" t="s">
        <v>11</v>
      </c>
      <c r="D331" s="50"/>
      <c r="E331" s="52">
        <v>1</v>
      </c>
      <c r="F331" s="50">
        <f t="shared" si="19"/>
        <v>1</v>
      </c>
      <c r="G331" s="74" t="s">
        <v>42</v>
      </c>
    </row>
    <row r="332" spans="1:7" x14ac:dyDescent="0.2">
      <c r="A332" s="57">
        <v>6</v>
      </c>
      <c r="B332" s="36">
        <v>46008</v>
      </c>
      <c r="C332" s="48" t="s">
        <v>97</v>
      </c>
      <c r="D332" s="50">
        <v>1</v>
      </c>
      <c r="E332" s="50"/>
      <c r="F332" s="50">
        <f t="shared" si="19"/>
        <v>2</v>
      </c>
      <c r="G332" s="74" t="s">
        <v>42</v>
      </c>
    </row>
    <row r="333" spans="1:7" x14ac:dyDescent="0.2">
      <c r="A333" s="56">
        <v>7</v>
      </c>
      <c r="B333" s="36">
        <v>46008</v>
      </c>
      <c r="C333" s="48" t="s">
        <v>11</v>
      </c>
      <c r="D333" s="50"/>
      <c r="E333" s="52">
        <v>2</v>
      </c>
      <c r="F333" s="50">
        <f t="shared" si="19"/>
        <v>0</v>
      </c>
      <c r="G333" s="74" t="s">
        <v>42</v>
      </c>
    </row>
    <row r="334" spans="1:7" x14ac:dyDescent="0.2">
      <c r="A334" s="57">
        <v>8</v>
      </c>
      <c r="B334" s="36"/>
      <c r="C334" s="48"/>
      <c r="D334" s="52"/>
      <c r="E334" s="50"/>
      <c r="F334" s="50">
        <f t="shared" si="19"/>
        <v>0</v>
      </c>
      <c r="G334" s="57"/>
    </row>
    <row r="335" spans="1:7" x14ac:dyDescent="0.2">
      <c r="A335" s="56">
        <v>9</v>
      </c>
      <c r="B335" s="36"/>
      <c r="C335" s="48"/>
      <c r="D335" s="52"/>
      <c r="E335" s="52"/>
      <c r="F335" s="50">
        <f t="shared" si="19"/>
        <v>0</v>
      </c>
      <c r="G335" s="57"/>
    </row>
    <row r="336" spans="1:7" x14ac:dyDescent="0.2">
      <c r="A336" s="57">
        <v>10</v>
      </c>
      <c r="B336" s="36"/>
      <c r="C336" s="48"/>
      <c r="D336" s="52"/>
      <c r="E336" s="50"/>
      <c r="F336" s="50">
        <f t="shared" si="19"/>
        <v>0</v>
      </c>
      <c r="G336" s="57"/>
    </row>
    <row r="337" spans="1:7" s="70" customFormat="1" ht="15" customHeight="1" x14ac:dyDescent="0.25">
      <c r="A337" s="58"/>
      <c r="B337" s="44"/>
      <c r="C337" s="59"/>
      <c r="D337" s="72"/>
      <c r="E337" s="72"/>
      <c r="F337" s="61"/>
      <c r="G337" s="58"/>
    </row>
    <row r="339" spans="1:7" ht="15.75" x14ac:dyDescent="0.25">
      <c r="A339" s="64" t="s">
        <v>8</v>
      </c>
      <c r="B339" s="65"/>
      <c r="C339" s="64" t="s">
        <v>152</v>
      </c>
      <c r="D339" s="65"/>
      <c r="E339" s="65"/>
      <c r="F339" s="65"/>
      <c r="G339" s="65"/>
    </row>
    <row r="340" spans="1:7" ht="15.75" x14ac:dyDescent="0.25">
      <c r="A340" s="64" t="s">
        <v>9</v>
      </c>
      <c r="B340" s="65"/>
      <c r="C340" s="64" t="s">
        <v>10</v>
      </c>
      <c r="D340" s="65"/>
      <c r="E340" s="65"/>
      <c r="F340" s="65"/>
      <c r="G340" s="65"/>
    </row>
    <row r="342" spans="1:7" x14ac:dyDescent="0.2">
      <c r="A342" s="66" t="s">
        <v>0</v>
      </c>
      <c r="B342" s="67" t="s">
        <v>1</v>
      </c>
      <c r="C342" s="66" t="s">
        <v>3</v>
      </c>
      <c r="D342" s="66" t="s">
        <v>4</v>
      </c>
      <c r="E342" s="66" t="s">
        <v>5</v>
      </c>
      <c r="F342" s="66" t="s">
        <v>6</v>
      </c>
      <c r="G342" s="66" t="s">
        <v>2</v>
      </c>
    </row>
    <row r="343" spans="1:7" x14ac:dyDescent="0.2">
      <c r="A343" s="56">
        <v>1</v>
      </c>
      <c r="B343" s="36">
        <v>45658</v>
      </c>
      <c r="C343" s="46" t="s">
        <v>7</v>
      </c>
      <c r="D343" s="47"/>
      <c r="E343" s="47"/>
      <c r="F343" s="47">
        <f>D343</f>
        <v>0</v>
      </c>
      <c r="G343" s="56"/>
    </row>
    <row r="344" spans="1:7" x14ac:dyDescent="0.2">
      <c r="A344" s="57">
        <v>2</v>
      </c>
      <c r="B344" s="12">
        <v>45764</v>
      </c>
      <c r="C344" s="48" t="s">
        <v>97</v>
      </c>
      <c r="D344" s="50">
        <v>3</v>
      </c>
      <c r="E344" s="50"/>
      <c r="F344" s="50">
        <f>F343+D344-E344</f>
        <v>3</v>
      </c>
      <c r="G344" s="74" t="s">
        <v>50</v>
      </c>
    </row>
    <row r="345" spans="1:7" x14ac:dyDescent="0.2">
      <c r="A345" s="56">
        <v>3</v>
      </c>
      <c r="B345" s="12">
        <v>45764</v>
      </c>
      <c r="C345" s="48" t="s">
        <v>11</v>
      </c>
      <c r="D345" s="52"/>
      <c r="E345" s="50">
        <v>3</v>
      </c>
      <c r="F345" s="50">
        <f t="shared" ref="F345:F349" si="20">F344+D345-E345</f>
        <v>0</v>
      </c>
      <c r="G345" s="74" t="s">
        <v>50</v>
      </c>
    </row>
    <row r="346" spans="1:7" x14ac:dyDescent="0.2">
      <c r="A346" s="57">
        <v>4</v>
      </c>
      <c r="B346" s="43">
        <v>46000</v>
      </c>
      <c r="C346" s="48" t="s">
        <v>97</v>
      </c>
      <c r="D346" s="52">
        <v>10</v>
      </c>
      <c r="E346" s="52"/>
      <c r="F346" s="50">
        <f t="shared" si="20"/>
        <v>10</v>
      </c>
      <c r="G346" s="74" t="s">
        <v>151</v>
      </c>
    </row>
    <row r="347" spans="1:7" x14ac:dyDescent="0.2">
      <c r="A347" s="56">
        <v>5</v>
      </c>
      <c r="B347" s="43">
        <v>46000</v>
      </c>
      <c r="C347" s="48" t="s">
        <v>11</v>
      </c>
      <c r="D347" s="52"/>
      <c r="E347" s="52">
        <v>10</v>
      </c>
      <c r="F347" s="50">
        <f t="shared" si="20"/>
        <v>0</v>
      </c>
      <c r="G347" s="74" t="s">
        <v>151</v>
      </c>
    </row>
    <row r="348" spans="1:7" x14ac:dyDescent="0.2">
      <c r="A348" s="57">
        <v>6</v>
      </c>
      <c r="B348" s="43">
        <v>46008</v>
      </c>
      <c r="C348" s="48" t="s">
        <v>97</v>
      </c>
      <c r="D348" s="52">
        <v>10</v>
      </c>
      <c r="E348" s="52"/>
      <c r="F348" s="50">
        <f t="shared" si="20"/>
        <v>10</v>
      </c>
      <c r="G348" s="74" t="s">
        <v>158</v>
      </c>
    </row>
    <row r="349" spans="1:7" x14ac:dyDescent="0.2">
      <c r="A349" s="56">
        <v>7</v>
      </c>
      <c r="B349" s="43">
        <v>46008</v>
      </c>
      <c r="C349" s="48" t="s">
        <v>11</v>
      </c>
      <c r="D349" s="52"/>
      <c r="E349" s="52">
        <v>10</v>
      </c>
      <c r="F349" s="50">
        <f t="shared" si="20"/>
        <v>0</v>
      </c>
      <c r="G349" s="74" t="s">
        <v>158</v>
      </c>
    </row>
    <row r="350" spans="1:7" x14ac:dyDescent="0.2">
      <c r="A350" s="58"/>
      <c r="B350" s="44"/>
      <c r="C350" s="59"/>
      <c r="D350" s="72"/>
      <c r="E350" s="72"/>
      <c r="F350" s="61"/>
      <c r="G350" s="58"/>
    </row>
    <row r="352" spans="1:7" ht="15.75" x14ac:dyDescent="0.25">
      <c r="A352" s="64" t="s">
        <v>8</v>
      </c>
      <c r="B352" s="65"/>
      <c r="C352" s="64" t="s">
        <v>52</v>
      </c>
      <c r="D352" s="65"/>
      <c r="E352" s="65"/>
      <c r="F352" s="65"/>
      <c r="G352" s="65"/>
    </row>
    <row r="353" spans="1:7" ht="15.75" x14ac:dyDescent="0.25">
      <c r="A353" s="64" t="s">
        <v>9</v>
      </c>
      <c r="B353" s="65"/>
      <c r="C353" s="64" t="s">
        <v>53</v>
      </c>
      <c r="D353" s="65"/>
      <c r="E353" s="65"/>
      <c r="F353" s="65"/>
      <c r="G353" s="65"/>
    </row>
    <row r="355" spans="1:7" x14ac:dyDescent="0.2">
      <c r="A355" s="66" t="s">
        <v>0</v>
      </c>
      <c r="B355" s="67" t="s">
        <v>1</v>
      </c>
      <c r="C355" s="66" t="s">
        <v>3</v>
      </c>
      <c r="D355" s="66" t="s">
        <v>4</v>
      </c>
      <c r="E355" s="66" t="s">
        <v>5</v>
      </c>
      <c r="F355" s="66" t="s">
        <v>6</v>
      </c>
      <c r="G355" s="66" t="s">
        <v>2</v>
      </c>
    </row>
    <row r="356" spans="1:7" x14ac:dyDescent="0.2">
      <c r="A356" s="56">
        <v>1</v>
      </c>
      <c r="B356" s="36">
        <v>45658</v>
      </c>
      <c r="C356" s="46" t="s">
        <v>7</v>
      </c>
      <c r="D356" s="47"/>
      <c r="E356" s="47"/>
      <c r="F356" s="47">
        <f>D356</f>
        <v>0</v>
      </c>
      <c r="G356" s="74"/>
    </row>
    <row r="357" spans="1:7" x14ac:dyDescent="0.2">
      <c r="A357" s="57">
        <v>2</v>
      </c>
      <c r="B357" s="36">
        <v>45764</v>
      </c>
      <c r="C357" s="48" t="s">
        <v>97</v>
      </c>
      <c r="D357" s="50">
        <v>25</v>
      </c>
      <c r="E357" s="50"/>
      <c r="F357" s="47">
        <f>F356+D357-E357</f>
        <v>25</v>
      </c>
      <c r="G357" s="74" t="s">
        <v>50</v>
      </c>
    </row>
    <row r="358" spans="1:7" x14ac:dyDescent="0.2">
      <c r="A358" s="57">
        <v>3</v>
      </c>
      <c r="B358" s="36">
        <v>45764</v>
      </c>
      <c r="C358" s="48" t="s">
        <v>11</v>
      </c>
      <c r="D358" s="50"/>
      <c r="E358" s="50">
        <v>25</v>
      </c>
      <c r="F358" s="47">
        <f t="shared" ref="F358:F365" si="21">F357+D358-E358</f>
        <v>0</v>
      </c>
      <c r="G358" s="74" t="s">
        <v>50</v>
      </c>
    </row>
    <row r="359" spans="1:7" x14ac:dyDescent="0.2">
      <c r="A359" s="57">
        <v>4</v>
      </c>
      <c r="B359" s="36">
        <v>45852</v>
      </c>
      <c r="C359" s="48" t="s">
        <v>137</v>
      </c>
      <c r="D359" s="50">
        <v>100</v>
      </c>
      <c r="E359" s="50"/>
      <c r="F359" s="47">
        <f t="shared" si="21"/>
        <v>100</v>
      </c>
      <c r="G359" s="74" t="s">
        <v>50</v>
      </c>
    </row>
    <row r="360" spans="1:7" x14ac:dyDescent="0.2">
      <c r="A360" s="57">
        <v>5</v>
      </c>
      <c r="B360" s="36">
        <v>45852</v>
      </c>
      <c r="C360" s="48" t="s">
        <v>11</v>
      </c>
      <c r="D360" s="50"/>
      <c r="E360" s="50">
        <v>50</v>
      </c>
      <c r="F360" s="47">
        <f t="shared" si="21"/>
        <v>50</v>
      </c>
      <c r="G360" s="74" t="s">
        <v>50</v>
      </c>
    </row>
    <row r="361" spans="1:7" x14ac:dyDescent="0.2">
      <c r="A361" s="57">
        <v>6</v>
      </c>
      <c r="B361" s="36">
        <v>45871</v>
      </c>
      <c r="C361" s="48" t="s">
        <v>97</v>
      </c>
      <c r="D361" s="50">
        <v>25</v>
      </c>
      <c r="E361" s="50"/>
      <c r="F361" s="47">
        <f t="shared" si="21"/>
        <v>75</v>
      </c>
      <c r="G361" s="74" t="s">
        <v>50</v>
      </c>
    </row>
    <row r="362" spans="1:7" x14ac:dyDescent="0.2">
      <c r="A362" s="57">
        <v>7</v>
      </c>
      <c r="B362" s="36">
        <v>45871</v>
      </c>
      <c r="C362" s="48" t="s">
        <v>11</v>
      </c>
      <c r="D362" s="50"/>
      <c r="E362" s="50">
        <v>50</v>
      </c>
      <c r="F362" s="47">
        <f t="shared" si="21"/>
        <v>25</v>
      </c>
      <c r="G362" s="74" t="s">
        <v>50</v>
      </c>
    </row>
    <row r="363" spans="1:7" x14ac:dyDescent="0.2">
      <c r="A363" s="57">
        <v>8</v>
      </c>
      <c r="B363" s="36">
        <v>46000</v>
      </c>
      <c r="C363" s="48" t="s">
        <v>97</v>
      </c>
      <c r="D363" s="50">
        <v>30</v>
      </c>
      <c r="E363" s="50"/>
      <c r="F363" s="47">
        <f t="shared" si="21"/>
        <v>55</v>
      </c>
      <c r="G363" s="74" t="s">
        <v>151</v>
      </c>
    </row>
    <row r="364" spans="1:7" x14ac:dyDescent="0.2">
      <c r="A364" s="57">
        <v>9</v>
      </c>
      <c r="B364" s="36">
        <v>46000</v>
      </c>
      <c r="C364" s="48" t="s">
        <v>11</v>
      </c>
      <c r="D364" s="50"/>
      <c r="E364" s="50">
        <v>55</v>
      </c>
      <c r="F364" s="47">
        <f t="shared" si="21"/>
        <v>0</v>
      </c>
      <c r="G364" s="74" t="s">
        <v>151</v>
      </c>
    </row>
    <row r="365" spans="1:7" x14ac:dyDescent="0.2">
      <c r="A365" s="57">
        <v>10</v>
      </c>
      <c r="B365" s="36"/>
      <c r="C365" s="48"/>
      <c r="D365" s="50"/>
      <c r="E365" s="50"/>
      <c r="F365" s="47">
        <f t="shared" si="21"/>
        <v>0</v>
      </c>
      <c r="G365" s="74"/>
    </row>
    <row r="366" spans="1:7" x14ac:dyDescent="0.2">
      <c r="A366" s="58"/>
      <c r="B366" s="44"/>
      <c r="C366" s="59"/>
      <c r="D366" s="72"/>
      <c r="E366" s="72"/>
      <c r="F366" s="61"/>
      <c r="G366" s="58"/>
    </row>
    <row r="368" spans="1:7" ht="15.75" x14ac:dyDescent="0.25">
      <c r="A368" s="64" t="s">
        <v>8</v>
      </c>
      <c r="B368" s="65"/>
      <c r="C368" s="64" t="s">
        <v>54</v>
      </c>
      <c r="D368" s="65"/>
      <c r="E368" s="65"/>
      <c r="F368" s="65"/>
      <c r="G368" s="65"/>
    </row>
    <row r="369" spans="1:7" ht="15.75" x14ac:dyDescent="0.25">
      <c r="A369" s="64" t="s">
        <v>9</v>
      </c>
      <c r="B369" s="65"/>
      <c r="C369" s="64" t="s">
        <v>47</v>
      </c>
      <c r="D369" s="65"/>
      <c r="E369" s="65"/>
      <c r="F369" s="65"/>
      <c r="G369" s="65"/>
    </row>
    <row r="371" spans="1:7" x14ac:dyDescent="0.2">
      <c r="A371" s="66" t="s">
        <v>0</v>
      </c>
      <c r="B371" s="67" t="s">
        <v>1</v>
      </c>
      <c r="C371" s="66" t="s">
        <v>3</v>
      </c>
      <c r="D371" s="66" t="s">
        <v>4</v>
      </c>
      <c r="E371" s="66" t="s">
        <v>5</v>
      </c>
      <c r="F371" s="66" t="s">
        <v>6</v>
      </c>
      <c r="G371" s="66" t="s">
        <v>2</v>
      </c>
    </row>
    <row r="372" spans="1:7" x14ac:dyDescent="0.2">
      <c r="A372" s="56">
        <v>1</v>
      </c>
      <c r="B372" s="75">
        <v>45658</v>
      </c>
      <c r="C372" s="46" t="s">
        <v>7</v>
      </c>
      <c r="D372" s="47"/>
      <c r="E372" s="47"/>
      <c r="F372" s="47">
        <f>D372</f>
        <v>0</v>
      </c>
      <c r="G372" s="56"/>
    </row>
    <row r="373" spans="1:7" x14ac:dyDescent="0.2">
      <c r="A373" s="57">
        <v>2</v>
      </c>
      <c r="B373" s="36"/>
      <c r="C373" s="48"/>
      <c r="D373" s="50"/>
      <c r="E373" s="50"/>
      <c r="F373" s="50">
        <f>F372+D373-E373</f>
        <v>0</v>
      </c>
      <c r="G373" s="74"/>
    </row>
    <row r="374" spans="1:7" x14ac:dyDescent="0.2">
      <c r="A374" s="57">
        <v>3</v>
      </c>
      <c r="B374" s="36"/>
      <c r="C374" s="48"/>
      <c r="D374" s="50"/>
      <c r="E374" s="50"/>
      <c r="F374" s="50">
        <f t="shared" ref="F374" si="22">F373+D374-E374</f>
        <v>0</v>
      </c>
      <c r="G374" s="74"/>
    </row>
    <row r="375" spans="1:7" x14ac:dyDescent="0.2">
      <c r="A375" s="58"/>
      <c r="B375" s="44"/>
      <c r="C375" s="59"/>
      <c r="D375" s="72"/>
      <c r="E375" s="72"/>
      <c r="F375" s="61"/>
      <c r="G375" s="58"/>
    </row>
    <row r="377" spans="1:7" ht="15.75" x14ac:dyDescent="0.25">
      <c r="A377" s="64" t="s">
        <v>8</v>
      </c>
      <c r="B377" s="65"/>
      <c r="C377" s="64" t="s">
        <v>55</v>
      </c>
      <c r="D377" s="65"/>
      <c r="E377" s="65"/>
      <c r="F377" s="65"/>
      <c r="G377" s="65"/>
    </row>
    <row r="378" spans="1:7" ht="15.75" x14ac:dyDescent="0.25">
      <c r="A378" s="64" t="s">
        <v>9</v>
      </c>
      <c r="B378" s="65"/>
      <c r="C378" s="64" t="s">
        <v>53</v>
      </c>
      <c r="D378" s="65"/>
      <c r="E378" s="65"/>
      <c r="F378" s="65"/>
      <c r="G378" s="65"/>
    </row>
    <row r="380" spans="1:7" x14ac:dyDescent="0.2">
      <c r="A380" s="66" t="s">
        <v>0</v>
      </c>
      <c r="B380" s="67" t="s">
        <v>1</v>
      </c>
      <c r="C380" s="66" t="s">
        <v>3</v>
      </c>
      <c r="D380" s="66" t="s">
        <v>4</v>
      </c>
      <c r="E380" s="66" t="s">
        <v>5</v>
      </c>
      <c r="F380" s="66" t="s">
        <v>6</v>
      </c>
      <c r="G380" s="66" t="s">
        <v>2</v>
      </c>
    </row>
    <row r="381" spans="1:7" x14ac:dyDescent="0.2">
      <c r="A381" s="56">
        <v>1</v>
      </c>
      <c r="B381" s="75">
        <v>45658</v>
      </c>
      <c r="C381" s="46" t="s">
        <v>7</v>
      </c>
      <c r="D381" s="47"/>
      <c r="E381" s="47"/>
      <c r="F381" s="47">
        <f>D381</f>
        <v>0</v>
      </c>
      <c r="G381" s="56"/>
    </row>
    <row r="382" spans="1:7" x14ac:dyDescent="0.2">
      <c r="A382" s="57">
        <v>2</v>
      </c>
      <c r="B382" s="36"/>
      <c r="C382" s="48"/>
      <c r="D382" s="50"/>
      <c r="E382" s="50"/>
      <c r="F382" s="50">
        <f>F381+D382-E382</f>
        <v>0</v>
      </c>
      <c r="G382" s="74"/>
    </row>
    <row r="383" spans="1:7" x14ac:dyDescent="0.2">
      <c r="A383" s="57">
        <v>3</v>
      </c>
      <c r="B383" s="36"/>
      <c r="C383" s="48"/>
      <c r="D383" s="50"/>
      <c r="E383" s="50"/>
      <c r="F383" s="50">
        <f t="shared" ref="F383" si="23">F382+D383-E383</f>
        <v>0</v>
      </c>
      <c r="G383" s="74"/>
    </row>
    <row r="384" spans="1:7" x14ac:dyDescent="0.2">
      <c r="A384" s="58"/>
      <c r="B384" s="44"/>
      <c r="C384" s="59"/>
      <c r="D384" s="72"/>
      <c r="E384" s="72"/>
      <c r="F384" s="61"/>
      <c r="G384" s="58"/>
    </row>
    <row r="386" spans="1:7" ht="15.75" x14ac:dyDescent="0.25">
      <c r="A386" s="64" t="s">
        <v>8</v>
      </c>
      <c r="B386" s="65"/>
      <c r="C386" s="64" t="s">
        <v>112</v>
      </c>
      <c r="D386" s="65"/>
      <c r="E386" s="65"/>
      <c r="F386" s="65"/>
      <c r="G386" s="65"/>
    </row>
    <row r="387" spans="1:7" ht="15.75" x14ac:dyDescent="0.25">
      <c r="A387" s="64" t="s">
        <v>9</v>
      </c>
      <c r="B387" s="65"/>
      <c r="C387" s="64" t="s">
        <v>47</v>
      </c>
      <c r="D387" s="65"/>
      <c r="E387" s="65"/>
      <c r="F387" s="65"/>
      <c r="G387" s="65"/>
    </row>
    <row r="389" spans="1:7" x14ac:dyDescent="0.2">
      <c r="A389" s="66" t="s">
        <v>0</v>
      </c>
      <c r="B389" s="67" t="s">
        <v>1</v>
      </c>
      <c r="C389" s="66" t="s">
        <v>3</v>
      </c>
      <c r="D389" s="66" t="s">
        <v>4</v>
      </c>
      <c r="E389" s="66" t="s">
        <v>5</v>
      </c>
      <c r="F389" s="66" t="s">
        <v>6</v>
      </c>
      <c r="G389" s="66" t="s">
        <v>2</v>
      </c>
    </row>
    <row r="390" spans="1:7" x14ac:dyDescent="0.2">
      <c r="A390" s="56">
        <v>1</v>
      </c>
      <c r="B390" s="36">
        <v>45658</v>
      </c>
      <c r="C390" s="46" t="s">
        <v>7</v>
      </c>
      <c r="D390" s="47"/>
      <c r="E390" s="47"/>
      <c r="F390" s="47">
        <f>D390</f>
        <v>0</v>
      </c>
      <c r="G390" s="56"/>
    </row>
    <row r="391" spans="1:7" x14ac:dyDescent="0.2">
      <c r="A391" s="57">
        <v>2</v>
      </c>
      <c r="B391" s="36">
        <v>45764</v>
      </c>
      <c r="C391" s="48" t="s">
        <v>97</v>
      </c>
      <c r="D391" s="50">
        <v>5</v>
      </c>
      <c r="E391" s="50"/>
      <c r="F391" s="50">
        <f>F390+D391-E391</f>
        <v>5</v>
      </c>
      <c r="G391" s="74" t="s">
        <v>50</v>
      </c>
    </row>
    <row r="392" spans="1:7" x14ac:dyDescent="0.2">
      <c r="A392" s="56">
        <v>3</v>
      </c>
      <c r="B392" s="36">
        <v>45764</v>
      </c>
      <c r="C392" s="48" t="s">
        <v>11</v>
      </c>
      <c r="D392" s="50"/>
      <c r="E392" s="50">
        <v>5</v>
      </c>
      <c r="F392" s="50">
        <f t="shared" ref="F392:F394" si="24">F391+D392-E392</f>
        <v>0</v>
      </c>
      <c r="G392" s="74" t="s">
        <v>50</v>
      </c>
    </row>
    <row r="393" spans="1:7" x14ac:dyDescent="0.2">
      <c r="A393" s="57">
        <v>4</v>
      </c>
      <c r="B393" s="36"/>
      <c r="C393" s="48"/>
      <c r="D393" s="50"/>
      <c r="E393" s="50"/>
      <c r="F393" s="50">
        <f t="shared" si="24"/>
        <v>0</v>
      </c>
      <c r="G393" s="74"/>
    </row>
    <row r="394" spans="1:7" x14ac:dyDescent="0.2">
      <c r="A394" s="56">
        <v>5</v>
      </c>
      <c r="B394" s="36"/>
      <c r="C394" s="48"/>
      <c r="D394" s="50"/>
      <c r="E394" s="50"/>
      <c r="F394" s="50">
        <f t="shared" si="24"/>
        <v>0</v>
      </c>
      <c r="G394" s="74"/>
    </row>
    <row r="395" spans="1:7" x14ac:dyDescent="0.2">
      <c r="A395" s="58"/>
      <c r="B395" s="44"/>
      <c r="C395" s="59"/>
      <c r="D395" s="72"/>
      <c r="E395" s="72"/>
      <c r="F395" s="61"/>
      <c r="G395" s="58"/>
    </row>
    <row r="397" spans="1:7" ht="15.75" x14ac:dyDescent="0.25">
      <c r="A397" s="64" t="s">
        <v>8</v>
      </c>
      <c r="B397" s="65"/>
      <c r="C397" s="64" t="s">
        <v>133</v>
      </c>
      <c r="D397" s="65"/>
      <c r="E397" s="65"/>
      <c r="F397" s="65"/>
      <c r="G397" s="65"/>
    </row>
    <row r="398" spans="1:7" ht="15.75" x14ac:dyDescent="0.25">
      <c r="A398" s="64" t="s">
        <v>9</v>
      </c>
      <c r="B398" s="65"/>
      <c r="C398" s="64" t="s">
        <v>83</v>
      </c>
      <c r="D398" s="65"/>
      <c r="E398" s="65"/>
      <c r="F398" s="65"/>
      <c r="G398" s="65"/>
    </row>
    <row r="400" spans="1:7" x14ac:dyDescent="0.2">
      <c r="A400" s="66" t="s">
        <v>0</v>
      </c>
      <c r="B400" s="67" t="s">
        <v>1</v>
      </c>
      <c r="C400" s="66" t="s">
        <v>3</v>
      </c>
      <c r="D400" s="66" t="s">
        <v>4</v>
      </c>
      <c r="E400" s="66" t="s">
        <v>5</v>
      </c>
      <c r="F400" s="66" t="s">
        <v>6</v>
      </c>
      <c r="G400" s="66" t="s">
        <v>2</v>
      </c>
    </row>
    <row r="401" spans="1:7" x14ac:dyDescent="0.2">
      <c r="A401" s="56">
        <v>1</v>
      </c>
      <c r="B401" s="36">
        <v>45658</v>
      </c>
      <c r="C401" s="46" t="s">
        <v>7</v>
      </c>
      <c r="D401" s="47"/>
      <c r="E401" s="47"/>
      <c r="F401" s="47">
        <f>D401</f>
        <v>0</v>
      </c>
      <c r="G401" s="56"/>
    </row>
    <row r="402" spans="1:7" x14ac:dyDescent="0.2">
      <c r="A402" s="57">
        <v>2</v>
      </c>
      <c r="B402" s="36">
        <v>45764</v>
      </c>
      <c r="C402" s="48" t="s">
        <v>97</v>
      </c>
      <c r="D402" s="50">
        <v>5</v>
      </c>
      <c r="E402" s="50"/>
      <c r="F402" s="50">
        <f>F401+D402-E402</f>
        <v>5</v>
      </c>
      <c r="G402" s="74" t="s">
        <v>50</v>
      </c>
    </row>
    <row r="403" spans="1:7" x14ac:dyDescent="0.2">
      <c r="A403" s="56">
        <v>3</v>
      </c>
      <c r="B403" s="36">
        <v>45764</v>
      </c>
      <c r="C403" s="48" t="s">
        <v>109</v>
      </c>
      <c r="D403" s="50"/>
      <c r="E403" s="50">
        <v>5</v>
      </c>
      <c r="F403" s="50">
        <f t="shared" ref="F403:F405" si="25">F402+D403-E403</f>
        <v>0</v>
      </c>
      <c r="G403" s="74" t="s">
        <v>50</v>
      </c>
    </row>
    <row r="404" spans="1:7" x14ac:dyDescent="0.2">
      <c r="A404" s="57">
        <v>4</v>
      </c>
      <c r="B404" s="36"/>
      <c r="C404" s="48"/>
      <c r="D404" s="50"/>
      <c r="E404" s="50"/>
      <c r="F404" s="50">
        <f t="shared" si="25"/>
        <v>0</v>
      </c>
      <c r="G404" s="74"/>
    </row>
    <row r="405" spans="1:7" x14ac:dyDescent="0.2">
      <c r="A405" s="56">
        <v>5</v>
      </c>
      <c r="B405" s="36"/>
      <c r="C405" s="48"/>
      <c r="D405" s="50"/>
      <c r="E405" s="50"/>
      <c r="F405" s="50">
        <f t="shared" si="25"/>
        <v>0</v>
      </c>
      <c r="G405" s="74"/>
    </row>
    <row r="406" spans="1:7" x14ac:dyDescent="0.2">
      <c r="A406" s="57">
        <v>6</v>
      </c>
      <c r="B406" s="36"/>
      <c r="C406" s="48"/>
      <c r="D406" s="50"/>
      <c r="E406" s="50"/>
      <c r="F406" s="50"/>
      <c r="G406" s="74"/>
    </row>
    <row r="407" spans="1:7" x14ac:dyDescent="0.2">
      <c r="A407" s="58"/>
      <c r="B407" s="44"/>
      <c r="C407" s="59"/>
      <c r="D407" s="72"/>
      <c r="E407" s="72"/>
      <c r="F407" s="61"/>
      <c r="G407" s="58"/>
    </row>
    <row r="409" spans="1:7" ht="15.75" x14ac:dyDescent="0.25">
      <c r="A409" s="64" t="s">
        <v>8</v>
      </c>
      <c r="B409" s="65"/>
      <c r="C409" s="64" t="s">
        <v>98</v>
      </c>
      <c r="D409" s="65"/>
      <c r="E409" s="65"/>
      <c r="F409" s="65"/>
      <c r="G409" s="65"/>
    </row>
    <row r="410" spans="1:7" ht="15.75" x14ac:dyDescent="0.25">
      <c r="A410" s="64" t="s">
        <v>9</v>
      </c>
      <c r="B410" s="65"/>
      <c r="C410" s="64" t="s">
        <v>47</v>
      </c>
      <c r="D410" s="65"/>
      <c r="E410" s="65"/>
      <c r="F410" s="65"/>
      <c r="G410" s="65"/>
    </row>
    <row r="412" spans="1:7" x14ac:dyDescent="0.2">
      <c r="A412" s="66" t="s">
        <v>0</v>
      </c>
      <c r="B412" s="67" t="s">
        <v>1</v>
      </c>
      <c r="C412" s="66" t="s">
        <v>3</v>
      </c>
      <c r="D412" s="66" t="s">
        <v>4</v>
      </c>
      <c r="E412" s="66" t="s">
        <v>5</v>
      </c>
      <c r="F412" s="66" t="s">
        <v>6</v>
      </c>
      <c r="G412" s="66" t="s">
        <v>2</v>
      </c>
    </row>
    <row r="413" spans="1:7" x14ac:dyDescent="0.2">
      <c r="A413" s="56">
        <v>1</v>
      </c>
      <c r="B413" s="75">
        <v>45658</v>
      </c>
      <c r="C413" s="46" t="s">
        <v>7</v>
      </c>
      <c r="D413" s="47"/>
      <c r="E413" s="47"/>
      <c r="F413" s="47">
        <f>D413</f>
        <v>0</v>
      </c>
      <c r="G413" s="56"/>
    </row>
    <row r="414" spans="1:7" x14ac:dyDescent="0.2">
      <c r="A414" s="57">
        <v>2</v>
      </c>
      <c r="B414" s="36"/>
      <c r="C414" s="48"/>
      <c r="D414" s="50"/>
      <c r="E414" s="50"/>
      <c r="F414" s="50">
        <f>F413+D414-E414</f>
        <v>0</v>
      </c>
      <c r="G414" s="74"/>
    </row>
    <row r="415" spans="1:7" x14ac:dyDescent="0.2">
      <c r="A415" s="56">
        <v>3</v>
      </c>
      <c r="B415" s="36"/>
      <c r="C415" s="48"/>
      <c r="D415" s="50"/>
      <c r="E415" s="50"/>
      <c r="F415" s="50">
        <f t="shared" ref="F415:F420" si="26">F414+D415-E415</f>
        <v>0</v>
      </c>
      <c r="G415" s="74"/>
    </row>
    <row r="416" spans="1:7" x14ac:dyDescent="0.2">
      <c r="A416" s="57">
        <v>4</v>
      </c>
      <c r="B416" s="36"/>
      <c r="C416" s="48"/>
      <c r="D416" s="50"/>
      <c r="E416" s="52"/>
      <c r="F416" s="50">
        <f t="shared" si="26"/>
        <v>0</v>
      </c>
      <c r="G416" s="74"/>
    </row>
    <row r="417" spans="1:7" x14ac:dyDescent="0.2">
      <c r="A417" s="56">
        <v>5</v>
      </c>
      <c r="B417" s="36"/>
      <c r="C417" s="55"/>
      <c r="D417" s="52"/>
      <c r="E417" s="52"/>
      <c r="F417" s="50">
        <f t="shared" si="26"/>
        <v>0</v>
      </c>
      <c r="G417" s="74"/>
    </row>
    <row r="418" spans="1:7" x14ac:dyDescent="0.2">
      <c r="A418" s="57">
        <v>6</v>
      </c>
      <c r="B418" s="43"/>
      <c r="C418" s="55"/>
      <c r="D418" s="52"/>
      <c r="E418" s="52"/>
      <c r="F418" s="50">
        <f t="shared" si="26"/>
        <v>0</v>
      </c>
      <c r="G418" s="74"/>
    </row>
    <row r="419" spans="1:7" x14ac:dyDescent="0.2">
      <c r="A419" s="56">
        <v>7</v>
      </c>
      <c r="B419" s="43"/>
      <c r="C419" s="55"/>
      <c r="D419" s="52"/>
      <c r="E419" s="52"/>
      <c r="F419" s="50">
        <f t="shared" si="26"/>
        <v>0</v>
      </c>
      <c r="G419" s="74"/>
    </row>
    <row r="420" spans="1:7" x14ac:dyDescent="0.2">
      <c r="A420" s="57">
        <v>8</v>
      </c>
      <c r="B420" s="43"/>
      <c r="C420" s="55"/>
      <c r="D420" s="52"/>
      <c r="E420" s="52"/>
      <c r="F420" s="50">
        <f t="shared" si="26"/>
        <v>0</v>
      </c>
      <c r="G420" s="74"/>
    </row>
    <row r="421" spans="1:7" x14ac:dyDescent="0.2">
      <c r="A421" s="58"/>
      <c r="B421" s="44"/>
      <c r="C421" s="59"/>
      <c r="D421" s="72"/>
      <c r="E421" s="72"/>
      <c r="F421" s="61"/>
      <c r="G421" s="58"/>
    </row>
    <row r="423" spans="1:7" ht="15.75" x14ac:dyDescent="0.25">
      <c r="A423" s="64" t="s">
        <v>8</v>
      </c>
      <c r="B423" s="65"/>
      <c r="C423" s="64" t="s">
        <v>57</v>
      </c>
      <c r="D423" s="65"/>
      <c r="E423" s="65"/>
      <c r="F423" s="65"/>
      <c r="G423" s="65"/>
    </row>
    <row r="424" spans="1:7" ht="15.75" x14ac:dyDescent="0.25">
      <c r="A424" s="64" t="s">
        <v>9</v>
      </c>
      <c r="B424" s="65"/>
      <c r="C424" s="64" t="s">
        <v>53</v>
      </c>
      <c r="D424" s="65"/>
      <c r="E424" s="65"/>
      <c r="F424" s="65"/>
      <c r="G424" s="65"/>
    </row>
    <row r="426" spans="1:7" x14ac:dyDescent="0.2">
      <c r="A426" s="66" t="s">
        <v>0</v>
      </c>
      <c r="B426" s="67" t="s">
        <v>1</v>
      </c>
      <c r="C426" s="66" t="s">
        <v>3</v>
      </c>
      <c r="D426" s="66" t="s">
        <v>4</v>
      </c>
      <c r="E426" s="66" t="s">
        <v>5</v>
      </c>
      <c r="F426" s="66" t="s">
        <v>6</v>
      </c>
      <c r="G426" s="66" t="s">
        <v>2</v>
      </c>
    </row>
    <row r="427" spans="1:7" x14ac:dyDescent="0.2">
      <c r="A427" s="56">
        <v>1</v>
      </c>
      <c r="B427" s="75">
        <v>45658</v>
      </c>
      <c r="C427" s="46" t="s">
        <v>7</v>
      </c>
      <c r="D427" s="47"/>
      <c r="E427" s="47"/>
      <c r="F427" s="47">
        <f>D427</f>
        <v>0</v>
      </c>
      <c r="G427" s="56"/>
    </row>
    <row r="428" spans="1:7" x14ac:dyDescent="0.2">
      <c r="A428" s="57">
        <v>2</v>
      </c>
      <c r="B428" s="36"/>
      <c r="C428" s="48"/>
      <c r="D428" s="50"/>
      <c r="E428" s="50"/>
      <c r="F428" s="50">
        <f>F427+D428-E428</f>
        <v>0</v>
      </c>
      <c r="G428" s="74"/>
    </row>
    <row r="429" spans="1:7" x14ac:dyDescent="0.2">
      <c r="A429" s="57">
        <v>3</v>
      </c>
      <c r="B429" s="36"/>
      <c r="C429" s="48"/>
      <c r="D429" s="50"/>
      <c r="E429" s="50"/>
      <c r="F429" s="50">
        <f t="shared" ref="F429" si="27">F428+D429-E429</f>
        <v>0</v>
      </c>
      <c r="G429" s="74"/>
    </row>
    <row r="430" spans="1:7" x14ac:dyDescent="0.2">
      <c r="A430" s="74"/>
      <c r="B430" s="43"/>
      <c r="C430" s="55"/>
      <c r="D430" s="52"/>
      <c r="E430" s="52"/>
      <c r="F430" s="50"/>
      <c r="G430" s="74"/>
    </row>
    <row r="431" spans="1:7" x14ac:dyDescent="0.2">
      <c r="A431" s="58"/>
      <c r="B431" s="44"/>
      <c r="C431" s="59"/>
      <c r="D431" s="60"/>
      <c r="E431" s="60"/>
      <c r="F431" s="60"/>
      <c r="G431" s="58"/>
    </row>
    <row r="433" spans="1:7" ht="15.75" x14ac:dyDescent="0.25">
      <c r="A433" s="64" t="s">
        <v>8</v>
      </c>
      <c r="B433" s="65"/>
      <c r="C433" s="64" t="s">
        <v>58</v>
      </c>
      <c r="D433" s="65"/>
      <c r="E433" s="65"/>
      <c r="F433" s="65"/>
      <c r="G433" s="65"/>
    </row>
    <row r="434" spans="1:7" ht="15.75" x14ac:dyDescent="0.25">
      <c r="A434" s="64" t="s">
        <v>9</v>
      </c>
      <c r="B434" s="65"/>
      <c r="C434" s="64" t="s">
        <v>47</v>
      </c>
      <c r="D434" s="65"/>
      <c r="E434" s="65"/>
      <c r="F434" s="65"/>
      <c r="G434" s="65"/>
    </row>
    <row r="436" spans="1:7" x14ac:dyDescent="0.2">
      <c r="A436" s="66" t="s">
        <v>0</v>
      </c>
      <c r="B436" s="67" t="s">
        <v>1</v>
      </c>
      <c r="C436" s="66" t="s">
        <v>3</v>
      </c>
      <c r="D436" s="66" t="s">
        <v>4</v>
      </c>
      <c r="E436" s="66" t="s">
        <v>5</v>
      </c>
      <c r="F436" s="66" t="s">
        <v>6</v>
      </c>
      <c r="G436" s="66" t="s">
        <v>2</v>
      </c>
    </row>
    <row r="437" spans="1:7" x14ac:dyDescent="0.2">
      <c r="A437" s="56">
        <v>1</v>
      </c>
      <c r="B437" s="36">
        <v>45658</v>
      </c>
      <c r="C437" s="46" t="s">
        <v>7</v>
      </c>
      <c r="D437" s="47"/>
      <c r="E437" s="47"/>
      <c r="F437" s="47">
        <f>D437</f>
        <v>0</v>
      </c>
      <c r="G437" s="56"/>
    </row>
    <row r="438" spans="1:7" x14ac:dyDescent="0.2">
      <c r="A438" s="57">
        <v>2</v>
      </c>
      <c r="B438" s="36">
        <v>45764</v>
      </c>
      <c r="C438" s="48" t="s">
        <v>97</v>
      </c>
      <c r="D438" s="50">
        <v>1</v>
      </c>
      <c r="E438" s="50"/>
      <c r="F438" s="50">
        <f>F437+D438-E438</f>
        <v>1</v>
      </c>
      <c r="G438" s="74" t="s">
        <v>50</v>
      </c>
    </row>
    <row r="439" spans="1:7" x14ac:dyDescent="0.2">
      <c r="A439" s="56">
        <v>3</v>
      </c>
      <c r="B439" s="36">
        <v>45764</v>
      </c>
      <c r="C439" s="48" t="s">
        <v>11</v>
      </c>
      <c r="D439" s="50"/>
      <c r="E439" s="50">
        <v>1</v>
      </c>
      <c r="F439" s="50">
        <f t="shared" ref="F439:F442" si="28">F438+D439-E439</f>
        <v>0</v>
      </c>
      <c r="G439" s="74" t="s">
        <v>50</v>
      </c>
    </row>
    <row r="440" spans="1:7" x14ac:dyDescent="0.2">
      <c r="A440" s="57">
        <v>4</v>
      </c>
      <c r="B440" s="36">
        <v>45871</v>
      </c>
      <c r="C440" s="48" t="s">
        <v>97</v>
      </c>
      <c r="D440" s="50">
        <v>1</v>
      </c>
      <c r="E440" s="52"/>
      <c r="F440" s="50">
        <f t="shared" si="28"/>
        <v>1</v>
      </c>
      <c r="G440" s="74" t="s">
        <v>50</v>
      </c>
    </row>
    <row r="441" spans="1:7" x14ac:dyDescent="0.2">
      <c r="A441" s="56">
        <v>5</v>
      </c>
      <c r="B441" s="36">
        <v>45871</v>
      </c>
      <c r="C441" s="48" t="s">
        <v>11</v>
      </c>
      <c r="D441" s="52"/>
      <c r="E441" s="52">
        <v>1</v>
      </c>
      <c r="F441" s="50">
        <f t="shared" si="28"/>
        <v>0</v>
      </c>
      <c r="G441" s="74" t="s">
        <v>50</v>
      </c>
    </row>
    <row r="442" spans="1:7" x14ac:dyDescent="0.2">
      <c r="A442" s="56"/>
      <c r="B442" s="36"/>
      <c r="C442" s="55"/>
      <c r="D442" s="52"/>
      <c r="E442" s="52"/>
      <c r="F442" s="50">
        <f t="shared" si="28"/>
        <v>0</v>
      </c>
      <c r="G442" s="74"/>
    </row>
    <row r="443" spans="1:7" x14ac:dyDescent="0.2">
      <c r="A443" s="58"/>
      <c r="B443" s="44"/>
      <c r="C443" s="59"/>
      <c r="D443" s="72"/>
      <c r="E443" s="72"/>
      <c r="F443" s="61"/>
      <c r="G443" s="58"/>
    </row>
    <row r="445" spans="1:7" ht="15.75" x14ac:dyDescent="0.25">
      <c r="A445" s="64" t="s">
        <v>8</v>
      </c>
      <c r="B445" s="65"/>
      <c r="C445" s="64" t="s">
        <v>60</v>
      </c>
      <c r="D445" s="65"/>
      <c r="E445" s="65"/>
      <c r="F445" s="65"/>
      <c r="G445" s="65"/>
    </row>
    <row r="446" spans="1:7" ht="15.75" x14ac:dyDescent="0.25">
      <c r="A446" s="64" t="s">
        <v>9</v>
      </c>
      <c r="B446" s="65"/>
      <c r="C446" s="64" t="s">
        <v>61</v>
      </c>
      <c r="D446" s="65"/>
      <c r="E446" s="65"/>
      <c r="F446" s="65"/>
      <c r="G446" s="65"/>
    </row>
    <row r="448" spans="1:7" x14ac:dyDescent="0.2">
      <c r="A448" s="66" t="s">
        <v>0</v>
      </c>
      <c r="B448" s="67" t="s">
        <v>1</v>
      </c>
      <c r="C448" s="66" t="s">
        <v>3</v>
      </c>
      <c r="D448" s="66" t="s">
        <v>4</v>
      </c>
      <c r="E448" s="66" t="s">
        <v>5</v>
      </c>
      <c r="F448" s="66" t="s">
        <v>6</v>
      </c>
      <c r="G448" s="66" t="s">
        <v>2</v>
      </c>
    </row>
    <row r="449" spans="1:7" x14ac:dyDescent="0.2">
      <c r="A449" s="56">
        <v>1</v>
      </c>
      <c r="B449" s="36">
        <v>45658</v>
      </c>
      <c r="C449" s="46" t="s">
        <v>7</v>
      </c>
      <c r="D449" s="47"/>
      <c r="E449" s="47"/>
      <c r="F449" s="47">
        <f>D449</f>
        <v>0</v>
      </c>
      <c r="G449" s="56"/>
    </row>
    <row r="450" spans="1:7" x14ac:dyDescent="0.2">
      <c r="A450" s="57">
        <v>2</v>
      </c>
      <c r="B450" s="36">
        <v>45764</v>
      </c>
      <c r="C450" s="48" t="s">
        <v>97</v>
      </c>
      <c r="D450" s="50">
        <v>1</v>
      </c>
      <c r="E450" s="50"/>
      <c r="F450" s="50">
        <f>F449+D450-E450</f>
        <v>1</v>
      </c>
      <c r="G450" s="74" t="s">
        <v>50</v>
      </c>
    </row>
    <row r="451" spans="1:7" x14ac:dyDescent="0.2">
      <c r="A451" s="57">
        <v>3</v>
      </c>
      <c r="B451" s="36">
        <v>45764</v>
      </c>
      <c r="C451" s="48" t="s">
        <v>11</v>
      </c>
      <c r="D451" s="50"/>
      <c r="E451" s="50">
        <v>1</v>
      </c>
      <c r="F451" s="50">
        <f t="shared" ref="F451:F453" si="29">F450+D451-E451</f>
        <v>0</v>
      </c>
      <c r="G451" s="74" t="s">
        <v>50</v>
      </c>
    </row>
    <row r="452" spans="1:7" x14ac:dyDescent="0.2">
      <c r="A452" s="57">
        <v>4</v>
      </c>
      <c r="B452" s="43">
        <v>45871</v>
      </c>
      <c r="C452" s="48" t="s">
        <v>97</v>
      </c>
      <c r="D452" s="50">
        <v>1</v>
      </c>
      <c r="E452" s="50"/>
      <c r="F452" s="50">
        <f t="shared" si="29"/>
        <v>1</v>
      </c>
      <c r="G452" s="74" t="s">
        <v>50</v>
      </c>
    </row>
    <row r="453" spans="1:7" x14ac:dyDescent="0.2">
      <c r="A453" s="57">
        <v>5</v>
      </c>
      <c r="B453" s="43">
        <v>45871</v>
      </c>
      <c r="C453" s="48" t="s">
        <v>11</v>
      </c>
      <c r="D453" s="50"/>
      <c r="E453" s="50">
        <v>1</v>
      </c>
      <c r="F453" s="50">
        <f t="shared" si="29"/>
        <v>0</v>
      </c>
      <c r="G453" s="74" t="s">
        <v>50</v>
      </c>
    </row>
    <row r="454" spans="1:7" x14ac:dyDescent="0.2">
      <c r="A454" s="58"/>
      <c r="B454" s="44"/>
      <c r="C454" s="59"/>
      <c r="D454" s="72"/>
      <c r="E454" s="72"/>
      <c r="F454" s="61"/>
      <c r="G454" s="58"/>
    </row>
    <row r="455" spans="1:7" x14ac:dyDescent="0.2">
      <c r="A455" s="78"/>
      <c r="B455" s="83"/>
      <c r="C455" s="80"/>
      <c r="D455" s="81"/>
      <c r="E455" s="81"/>
      <c r="F455" s="82"/>
      <c r="G455" s="78"/>
    </row>
    <row r="456" spans="1:7" ht="15.75" x14ac:dyDescent="0.25">
      <c r="A456" s="64" t="s">
        <v>8</v>
      </c>
      <c r="B456" s="65"/>
      <c r="C456" s="64" t="s">
        <v>59</v>
      </c>
      <c r="D456" s="65"/>
      <c r="E456" s="65"/>
      <c r="F456" s="65"/>
      <c r="G456" s="65"/>
    </row>
    <row r="457" spans="1:7" ht="15.75" x14ac:dyDescent="0.25">
      <c r="A457" s="64" t="s">
        <v>9</v>
      </c>
      <c r="B457" s="65"/>
      <c r="C457" s="64" t="s">
        <v>47</v>
      </c>
      <c r="D457" s="65"/>
      <c r="E457" s="65"/>
      <c r="F457" s="65"/>
      <c r="G457" s="65"/>
    </row>
    <row r="459" spans="1:7" x14ac:dyDescent="0.2">
      <c r="A459" s="66" t="s">
        <v>0</v>
      </c>
      <c r="B459" s="67" t="s">
        <v>1</v>
      </c>
      <c r="C459" s="66" t="s">
        <v>3</v>
      </c>
      <c r="D459" s="66" t="s">
        <v>4</v>
      </c>
      <c r="E459" s="66" t="s">
        <v>5</v>
      </c>
      <c r="F459" s="66" t="s">
        <v>6</v>
      </c>
      <c r="G459" s="66" t="s">
        <v>2</v>
      </c>
    </row>
    <row r="460" spans="1:7" x14ac:dyDescent="0.2">
      <c r="A460" s="56">
        <v>1</v>
      </c>
      <c r="B460" s="36">
        <v>45658</v>
      </c>
      <c r="C460" s="46" t="s">
        <v>7</v>
      </c>
      <c r="D460" s="47"/>
      <c r="E460" s="47"/>
      <c r="F460" s="47">
        <f>D460</f>
        <v>0</v>
      </c>
      <c r="G460" s="56"/>
    </row>
    <row r="461" spans="1:7" x14ac:dyDescent="0.2">
      <c r="A461" s="57">
        <v>2</v>
      </c>
      <c r="B461" s="36"/>
      <c r="C461" s="48"/>
      <c r="D461" s="50"/>
      <c r="E461" s="50"/>
      <c r="F461" s="50">
        <f>F460+D461-E461</f>
        <v>0</v>
      </c>
      <c r="G461" s="74"/>
    </row>
    <row r="462" spans="1:7" x14ac:dyDescent="0.2">
      <c r="A462" s="57">
        <v>3</v>
      </c>
      <c r="B462" s="36"/>
      <c r="C462" s="48"/>
      <c r="D462" s="50"/>
      <c r="E462" s="50"/>
      <c r="F462" s="50">
        <f t="shared" ref="F462:F463" si="30">F461+D462-E462</f>
        <v>0</v>
      </c>
      <c r="G462" s="74"/>
    </row>
    <row r="463" spans="1:7" x14ac:dyDescent="0.2">
      <c r="A463" s="74"/>
      <c r="B463" s="43"/>
      <c r="C463" s="55"/>
      <c r="D463" s="52"/>
      <c r="E463" s="52"/>
      <c r="F463" s="50">
        <f t="shared" si="30"/>
        <v>0</v>
      </c>
      <c r="G463" s="74"/>
    </row>
    <row r="464" spans="1:7" x14ac:dyDescent="0.2">
      <c r="A464" s="58"/>
      <c r="B464" s="44"/>
      <c r="C464" s="59"/>
      <c r="D464" s="72"/>
      <c r="E464" s="72"/>
      <c r="F464" s="61"/>
      <c r="G464" s="58"/>
    </row>
    <row r="466" spans="1:7" ht="15.75" x14ac:dyDescent="0.25">
      <c r="A466" s="64" t="s">
        <v>8</v>
      </c>
      <c r="B466" s="65"/>
      <c r="C466" s="64" t="s">
        <v>131</v>
      </c>
      <c r="D466" s="65"/>
      <c r="E466" s="65"/>
      <c r="F466" s="65"/>
      <c r="G466" s="65"/>
    </row>
    <row r="467" spans="1:7" ht="15.75" x14ac:dyDescent="0.25">
      <c r="A467" s="64" t="s">
        <v>9</v>
      </c>
      <c r="B467" s="65"/>
      <c r="C467" s="64" t="s">
        <v>47</v>
      </c>
      <c r="D467" s="65"/>
      <c r="E467" s="65"/>
      <c r="F467" s="65"/>
      <c r="G467" s="65"/>
    </row>
    <row r="469" spans="1:7" x14ac:dyDescent="0.2">
      <c r="A469" s="66" t="s">
        <v>0</v>
      </c>
      <c r="B469" s="67" t="s">
        <v>1</v>
      </c>
      <c r="C469" s="66" t="s">
        <v>3</v>
      </c>
      <c r="D469" s="66" t="s">
        <v>4</v>
      </c>
      <c r="E469" s="66" t="s">
        <v>5</v>
      </c>
      <c r="F469" s="66" t="s">
        <v>6</v>
      </c>
      <c r="G469" s="66" t="s">
        <v>2</v>
      </c>
    </row>
    <row r="470" spans="1:7" x14ac:dyDescent="0.2">
      <c r="A470" s="56">
        <v>1</v>
      </c>
      <c r="B470" s="36">
        <v>45658</v>
      </c>
      <c r="C470" s="46" t="s">
        <v>7</v>
      </c>
      <c r="D470" s="47"/>
      <c r="E470" s="47"/>
      <c r="F470" s="47">
        <f>D470</f>
        <v>0</v>
      </c>
      <c r="G470" s="56"/>
    </row>
    <row r="471" spans="1:7" x14ac:dyDescent="0.2">
      <c r="A471" s="57">
        <v>2</v>
      </c>
      <c r="B471" s="36">
        <v>45764</v>
      </c>
      <c r="C471" s="48" t="s">
        <v>97</v>
      </c>
      <c r="D471" s="50">
        <v>3</v>
      </c>
      <c r="E471" s="50"/>
      <c r="F471" s="50">
        <f>F470+D471-E471</f>
        <v>3</v>
      </c>
      <c r="G471" s="74" t="s">
        <v>50</v>
      </c>
    </row>
    <row r="472" spans="1:7" x14ac:dyDescent="0.2">
      <c r="A472" s="56">
        <v>3</v>
      </c>
      <c r="B472" s="36">
        <v>45764</v>
      </c>
      <c r="C472" s="48" t="s">
        <v>11</v>
      </c>
      <c r="D472" s="50"/>
      <c r="E472" s="50">
        <v>3</v>
      </c>
      <c r="F472" s="50">
        <f t="shared" ref="F472:F484" si="31">F471+D472-E472</f>
        <v>0</v>
      </c>
      <c r="G472" s="74" t="s">
        <v>50</v>
      </c>
    </row>
    <row r="473" spans="1:7" x14ac:dyDescent="0.2">
      <c r="A473" s="56">
        <v>4</v>
      </c>
      <c r="B473" s="36">
        <v>46000</v>
      </c>
      <c r="C473" s="48" t="s">
        <v>97</v>
      </c>
      <c r="D473" s="50">
        <v>5</v>
      </c>
      <c r="E473" s="50"/>
      <c r="F473" s="50">
        <f t="shared" si="31"/>
        <v>5</v>
      </c>
      <c r="G473" s="74" t="s">
        <v>151</v>
      </c>
    </row>
    <row r="474" spans="1:7" x14ac:dyDescent="0.2">
      <c r="A474" s="57">
        <v>5</v>
      </c>
      <c r="B474" s="36">
        <v>46000</v>
      </c>
      <c r="C474" s="48" t="s">
        <v>11</v>
      </c>
      <c r="D474" s="50"/>
      <c r="E474" s="52">
        <v>5</v>
      </c>
      <c r="F474" s="50">
        <f t="shared" si="31"/>
        <v>0</v>
      </c>
      <c r="G474" s="74" t="s">
        <v>151</v>
      </c>
    </row>
    <row r="475" spans="1:7" x14ac:dyDescent="0.2">
      <c r="A475" s="56">
        <v>6</v>
      </c>
      <c r="B475" s="36">
        <v>46008</v>
      </c>
      <c r="C475" s="48" t="s">
        <v>97</v>
      </c>
      <c r="D475" s="50">
        <v>2</v>
      </c>
      <c r="E475" s="50"/>
      <c r="F475" s="50">
        <f t="shared" si="31"/>
        <v>2</v>
      </c>
      <c r="G475" s="74" t="s">
        <v>158</v>
      </c>
    </row>
    <row r="476" spans="1:7" x14ac:dyDescent="0.2">
      <c r="A476" s="56">
        <v>7</v>
      </c>
      <c r="B476" s="36">
        <v>46008</v>
      </c>
      <c r="C476" s="48" t="s">
        <v>11</v>
      </c>
      <c r="D476" s="52"/>
      <c r="E476" s="52">
        <v>2</v>
      </c>
      <c r="F476" s="50">
        <f t="shared" si="31"/>
        <v>0</v>
      </c>
      <c r="G476" s="74" t="s">
        <v>158</v>
      </c>
    </row>
    <row r="477" spans="1:7" x14ac:dyDescent="0.2">
      <c r="A477" s="57">
        <v>8</v>
      </c>
      <c r="B477" s="36"/>
      <c r="C477" s="55"/>
      <c r="D477" s="52"/>
      <c r="E477" s="50"/>
      <c r="F477" s="50">
        <f t="shared" si="31"/>
        <v>0</v>
      </c>
      <c r="G477" s="57"/>
    </row>
    <row r="478" spans="1:7" x14ac:dyDescent="0.2">
      <c r="A478" s="56">
        <v>9</v>
      </c>
      <c r="B478" s="36"/>
      <c r="C478" s="48"/>
      <c r="D478" s="50"/>
      <c r="E478" s="52"/>
      <c r="F478" s="50">
        <f t="shared" si="31"/>
        <v>0</v>
      </c>
      <c r="G478" s="57"/>
    </row>
    <row r="479" spans="1:7" x14ac:dyDescent="0.2">
      <c r="A479" s="56">
        <v>10</v>
      </c>
      <c r="B479" s="36"/>
      <c r="C479" s="55"/>
      <c r="D479" s="50"/>
      <c r="E479" s="50"/>
      <c r="F479" s="50">
        <f t="shared" si="31"/>
        <v>0</v>
      </c>
      <c r="G479" s="57"/>
    </row>
    <row r="480" spans="1:7" x14ac:dyDescent="0.2">
      <c r="A480" s="57">
        <v>11</v>
      </c>
      <c r="B480" s="36"/>
      <c r="C480" s="48"/>
      <c r="D480" s="52"/>
      <c r="E480" s="52"/>
      <c r="F480" s="50">
        <f t="shared" si="31"/>
        <v>0</v>
      </c>
      <c r="G480" s="74"/>
    </row>
    <row r="481" spans="1:7" x14ac:dyDescent="0.2">
      <c r="A481" s="56">
        <v>12</v>
      </c>
      <c r="B481" s="36"/>
      <c r="C481" s="55"/>
      <c r="D481" s="52"/>
      <c r="E481" s="52"/>
      <c r="F481" s="50">
        <f t="shared" si="31"/>
        <v>0</v>
      </c>
      <c r="G481" s="74"/>
    </row>
    <row r="482" spans="1:7" x14ac:dyDescent="0.2">
      <c r="A482" s="56">
        <v>13</v>
      </c>
      <c r="B482" s="43"/>
      <c r="C482" s="48"/>
      <c r="D482" s="50"/>
      <c r="E482" s="52"/>
      <c r="F482" s="50">
        <f t="shared" si="31"/>
        <v>0</v>
      </c>
      <c r="G482" s="74"/>
    </row>
    <row r="483" spans="1:7" x14ac:dyDescent="0.2">
      <c r="A483" s="57">
        <v>14</v>
      </c>
      <c r="B483" s="43"/>
      <c r="C483" s="55"/>
      <c r="D483" s="50"/>
      <c r="E483" s="50"/>
      <c r="F483" s="50">
        <f t="shared" si="31"/>
        <v>0</v>
      </c>
      <c r="G483" s="74"/>
    </row>
    <row r="484" spans="1:7" x14ac:dyDescent="0.2">
      <c r="A484" s="56">
        <v>15</v>
      </c>
      <c r="B484" s="43"/>
      <c r="C484" s="48"/>
      <c r="D484" s="52"/>
      <c r="E484" s="52"/>
      <c r="F484" s="50">
        <f t="shared" si="31"/>
        <v>0</v>
      </c>
      <c r="G484" s="74"/>
    </row>
    <row r="485" spans="1:7" x14ac:dyDescent="0.2">
      <c r="A485" s="58"/>
      <c r="B485" s="44"/>
      <c r="C485" s="59"/>
      <c r="D485" s="72"/>
      <c r="E485" s="72"/>
      <c r="F485" s="61"/>
      <c r="G485" s="58"/>
    </row>
    <row r="487" spans="1:7" ht="15.75" x14ac:dyDescent="0.25">
      <c r="A487" s="64" t="s">
        <v>8</v>
      </c>
      <c r="B487" s="65"/>
      <c r="C487" s="64" t="s">
        <v>130</v>
      </c>
      <c r="D487" s="65"/>
      <c r="E487" s="65"/>
      <c r="F487" s="65"/>
      <c r="G487" s="65"/>
    </row>
    <row r="488" spans="1:7" ht="15.75" x14ac:dyDescent="0.25">
      <c r="A488" s="64" t="s">
        <v>9</v>
      </c>
      <c r="B488" s="65"/>
      <c r="C488" s="64" t="s">
        <v>45</v>
      </c>
      <c r="D488" s="65"/>
      <c r="E488" s="65"/>
      <c r="F488" s="65"/>
      <c r="G488" s="65"/>
    </row>
    <row r="490" spans="1:7" x14ac:dyDescent="0.2">
      <c r="A490" s="66" t="s">
        <v>0</v>
      </c>
      <c r="B490" s="67" t="s">
        <v>1</v>
      </c>
      <c r="C490" s="66" t="s">
        <v>3</v>
      </c>
      <c r="D490" s="66" t="s">
        <v>4</v>
      </c>
      <c r="E490" s="66" t="s">
        <v>5</v>
      </c>
      <c r="F490" s="66" t="s">
        <v>6</v>
      </c>
      <c r="G490" s="66" t="s">
        <v>2</v>
      </c>
    </row>
    <row r="491" spans="1:7" x14ac:dyDescent="0.2">
      <c r="A491" s="56">
        <v>1</v>
      </c>
      <c r="B491" s="36">
        <v>45658</v>
      </c>
      <c r="C491" s="46" t="s">
        <v>7</v>
      </c>
      <c r="D491" s="47"/>
      <c r="E491" s="47"/>
      <c r="F491" s="47">
        <f>D491</f>
        <v>0</v>
      </c>
      <c r="G491" s="56"/>
    </row>
    <row r="492" spans="1:7" x14ac:dyDescent="0.2">
      <c r="A492" s="57">
        <v>2</v>
      </c>
      <c r="B492" s="36">
        <v>45764</v>
      </c>
      <c r="C492" s="48" t="s">
        <v>97</v>
      </c>
      <c r="D492" s="50">
        <v>5</v>
      </c>
      <c r="E492" s="50"/>
      <c r="F492" s="50">
        <f>F491+D492-E492</f>
        <v>5</v>
      </c>
      <c r="G492" s="74" t="s">
        <v>50</v>
      </c>
    </row>
    <row r="493" spans="1:7" x14ac:dyDescent="0.2">
      <c r="A493" s="56">
        <v>3</v>
      </c>
      <c r="B493" s="36">
        <v>45764</v>
      </c>
      <c r="C493" s="48" t="s">
        <v>11</v>
      </c>
      <c r="D493" s="50"/>
      <c r="E493" s="50">
        <v>5</v>
      </c>
      <c r="F493" s="50">
        <f t="shared" ref="F493:F500" si="32">F492+D493-E493</f>
        <v>0</v>
      </c>
      <c r="G493" s="74" t="s">
        <v>50</v>
      </c>
    </row>
    <row r="494" spans="1:7" x14ac:dyDescent="0.2">
      <c r="A494" s="56">
        <v>4</v>
      </c>
      <c r="B494" s="36">
        <v>46000</v>
      </c>
      <c r="C494" s="48" t="s">
        <v>97</v>
      </c>
      <c r="D494" s="50">
        <v>5</v>
      </c>
      <c r="E494" s="50"/>
      <c r="F494" s="50">
        <f t="shared" si="32"/>
        <v>5</v>
      </c>
      <c r="G494" s="74" t="s">
        <v>151</v>
      </c>
    </row>
    <row r="495" spans="1:7" x14ac:dyDescent="0.2">
      <c r="A495" s="57">
        <v>5</v>
      </c>
      <c r="B495" s="36">
        <v>46000</v>
      </c>
      <c r="C495" s="48" t="s">
        <v>11</v>
      </c>
      <c r="D495" s="50"/>
      <c r="E495" s="52">
        <v>5</v>
      </c>
      <c r="F495" s="50">
        <f t="shared" si="32"/>
        <v>0</v>
      </c>
      <c r="G495" s="74" t="s">
        <v>151</v>
      </c>
    </row>
    <row r="496" spans="1:7" x14ac:dyDescent="0.2">
      <c r="A496" s="56">
        <v>6</v>
      </c>
      <c r="B496" s="36">
        <v>46008</v>
      </c>
      <c r="C496" s="48" t="s">
        <v>97</v>
      </c>
      <c r="D496" s="50">
        <v>3</v>
      </c>
      <c r="E496" s="52"/>
      <c r="F496" s="50">
        <f t="shared" si="32"/>
        <v>3</v>
      </c>
      <c r="G496" s="74" t="s">
        <v>158</v>
      </c>
    </row>
    <row r="497" spans="1:7" x14ac:dyDescent="0.2">
      <c r="A497" s="56">
        <v>7</v>
      </c>
      <c r="B497" s="36">
        <v>46008</v>
      </c>
      <c r="C497" s="48" t="s">
        <v>11</v>
      </c>
      <c r="D497" s="52"/>
      <c r="E497" s="52">
        <v>3</v>
      </c>
      <c r="F497" s="50">
        <f t="shared" si="32"/>
        <v>0</v>
      </c>
      <c r="G497" s="74" t="s">
        <v>158</v>
      </c>
    </row>
    <row r="498" spans="1:7" x14ac:dyDescent="0.2">
      <c r="A498" s="57">
        <v>8</v>
      </c>
      <c r="B498" s="36"/>
      <c r="C498" s="48"/>
      <c r="D498" s="52"/>
      <c r="E498" s="52"/>
      <c r="F498" s="50">
        <f t="shared" si="32"/>
        <v>0</v>
      </c>
      <c r="G498" s="57"/>
    </row>
    <row r="499" spans="1:7" x14ac:dyDescent="0.2">
      <c r="A499" s="56">
        <v>9</v>
      </c>
      <c r="B499" s="36"/>
      <c r="C499" s="55"/>
      <c r="D499" s="50"/>
      <c r="E499" s="52"/>
      <c r="F499" s="50">
        <f t="shared" si="32"/>
        <v>0</v>
      </c>
      <c r="G499" s="57"/>
    </row>
    <row r="500" spans="1:7" x14ac:dyDescent="0.2">
      <c r="A500" s="56">
        <v>10</v>
      </c>
      <c r="B500" s="36"/>
      <c r="C500" s="48"/>
      <c r="D500" s="50"/>
      <c r="E500" s="52"/>
      <c r="F500" s="50">
        <f t="shared" si="32"/>
        <v>0</v>
      </c>
      <c r="G500" s="74"/>
    </row>
    <row r="501" spans="1:7" x14ac:dyDescent="0.2">
      <c r="A501" s="58"/>
      <c r="B501" s="44"/>
      <c r="C501" s="59"/>
      <c r="D501" s="72"/>
      <c r="E501" s="72"/>
      <c r="F501" s="61"/>
      <c r="G501" s="58"/>
    </row>
    <row r="503" spans="1:7" ht="15.75" x14ac:dyDescent="0.25">
      <c r="A503" s="64" t="s">
        <v>8</v>
      </c>
      <c r="B503" s="65"/>
      <c r="C503" s="64" t="s">
        <v>102</v>
      </c>
      <c r="D503" s="65"/>
      <c r="E503" s="65"/>
      <c r="F503" s="65"/>
      <c r="G503" s="65"/>
    </row>
    <row r="504" spans="1:7" ht="15.75" x14ac:dyDescent="0.25">
      <c r="A504" s="64" t="s">
        <v>9</v>
      </c>
      <c r="B504" s="65"/>
      <c r="C504" s="64" t="s">
        <v>47</v>
      </c>
      <c r="D504" s="65"/>
      <c r="E504" s="65"/>
      <c r="F504" s="65"/>
      <c r="G504" s="65"/>
    </row>
    <row r="506" spans="1:7" x14ac:dyDescent="0.2">
      <c r="A506" s="66" t="s">
        <v>0</v>
      </c>
      <c r="B506" s="67" t="s">
        <v>1</v>
      </c>
      <c r="C506" s="66" t="s">
        <v>3</v>
      </c>
      <c r="D506" s="66" t="s">
        <v>4</v>
      </c>
      <c r="E506" s="66" t="s">
        <v>5</v>
      </c>
      <c r="F506" s="66" t="s">
        <v>6</v>
      </c>
      <c r="G506" s="66" t="s">
        <v>2</v>
      </c>
    </row>
    <row r="507" spans="1:7" x14ac:dyDescent="0.2">
      <c r="A507" s="56">
        <v>1</v>
      </c>
      <c r="B507" s="36">
        <v>45658</v>
      </c>
      <c r="C507" s="46" t="s">
        <v>7</v>
      </c>
      <c r="D507" s="47"/>
      <c r="E507" s="47"/>
      <c r="F507" s="47">
        <f>D507</f>
        <v>0</v>
      </c>
      <c r="G507" s="56"/>
    </row>
    <row r="508" spans="1:7" x14ac:dyDescent="0.2">
      <c r="A508" s="57">
        <v>2</v>
      </c>
      <c r="B508" s="36">
        <v>45764</v>
      </c>
      <c r="C508" s="48" t="s">
        <v>97</v>
      </c>
      <c r="D508" s="50">
        <v>1</v>
      </c>
      <c r="E508" s="50"/>
      <c r="F508" s="50">
        <f>F507+D508-E508</f>
        <v>1</v>
      </c>
      <c r="G508" s="74" t="s">
        <v>50</v>
      </c>
    </row>
    <row r="509" spans="1:7" x14ac:dyDescent="0.2">
      <c r="A509" s="57">
        <v>3</v>
      </c>
      <c r="B509" s="36">
        <v>45764</v>
      </c>
      <c r="C509" s="55" t="s">
        <v>11</v>
      </c>
      <c r="D509" s="50"/>
      <c r="E509" s="50">
        <v>1</v>
      </c>
      <c r="F509" s="50">
        <f t="shared" ref="F509:F512" si="33">F508+D509-E509</f>
        <v>0</v>
      </c>
      <c r="G509" s="74" t="s">
        <v>50</v>
      </c>
    </row>
    <row r="510" spans="1:7" x14ac:dyDescent="0.2">
      <c r="A510" s="74">
        <v>4</v>
      </c>
      <c r="B510" s="43">
        <v>45871</v>
      </c>
      <c r="C510" s="48" t="s">
        <v>97</v>
      </c>
      <c r="D510" s="52">
        <v>1</v>
      </c>
      <c r="E510" s="52"/>
      <c r="F510" s="50">
        <f t="shared" si="33"/>
        <v>1</v>
      </c>
      <c r="G510" s="74" t="s">
        <v>50</v>
      </c>
    </row>
    <row r="511" spans="1:7" x14ac:dyDescent="0.2">
      <c r="A511" s="74">
        <v>5</v>
      </c>
      <c r="B511" s="43">
        <v>45871</v>
      </c>
      <c r="C511" s="55" t="s">
        <v>11</v>
      </c>
      <c r="D511" s="52"/>
      <c r="E511" s="52">
        <v>1</v>
      </c>
      <c r="F511" s="50">
        <f t="shared" si="33"/>
        <v>0</v>
      </c>
      <c r="G511" s="74" t="s">
        <v>50</v>
      </c>
    </row>
    <row r="512" spans="1:7" x14ac:dyDescent="0.2">
      <c r="A512" s="74"/>
      <c r="B512" s="43"/>
      <c r="C512" s="55"/>
      <c r="D512" s="52"/>
      <c r="E512" s="52"/>
      <c r="F512" s="50">
        <f t="shared" si="33"/>
        <v>0</v>
      </c>
      <c r="G512" s="74"/>
    </row>
    <row r="513" spans="1:7" x14ac:dyDescent="0.2">
      <c r="A513" s="58"/>
      <c r="B513" s="44"/>
      <c r="C513" s="59"/>
      <c r="D513" s="72"/>
      <c r="E513" s="72"/>
      <c r="F513" s="61"/>
      <c r="G513" s="58"/>
    </row>
    <row r="514" spans="1:7" x14ac:dyDescent="0.2">
      <c r="A514" s="78"/>
      <c r="B514" s="83"/>
      <c r="C514" s="80"/>
      <c r="D514" s="81"/>
      <c r="E514" s="81"/>
      <c r="F514" s="82"/>
      <c r="G514" s="78"/>
    </row>
    <row r="515" spans="1:7" ht="15.75" x14ac:dyDescent="0.25">
      <c r="A515" s="64" t="s">
        <v>8</v>
      </c>
      <c r="B515" s="65"/>
      <c r="C515" s="64" t="s">
        <v>103</v>
      </c>
      <c r="D515" s="65"/>
      <c r="E515" s="65"/>
      <c r="F515" s="65"/>
      <c r="G515" s="65"/>
    </row>
    <row r="516" spans="1:7" ht="15.75" x14ac:dyDescent="0.25">
      <c r="A516" s="64" t="s">
        <v>9</v>
      </c>
      <c r="B516" s="65"/>
      <c r="C516" s="64" t="s">
        <v>111</v>
      </c>
      <c r="D516" s="65"/>
      <c r="E516" s="65"/>
      <c r="F516" s="65"/>
      <c r="G516" s="65"/>
    </row>
    <row r="518" spans="1:7" x14ac:dyDescent="0.2">
      <c r="A518" s="66" t="s">
        <v>0</v>
      </c>
      <c r="B518" s="67" t="s">
        <v>1</v>
      </c>
      <c r="C518" s="66" t="s">
        <v>3</v>
      </c>
      <c r="D518" s="66" t="s">
        <v>4</v>
      </c>
      <c r="E518" s="66" t="s">
        <v>5</v>
      </c>
      <c r="F518" s="66" t="s">
        <v>6</v>
      </c>
      <c r="G518" s="66" t="s">
        <v>2</v>
      </c>
    </row>
    <row r="519" spans="1:7" x14ac:dyDescent="0.2">
      <c r="A519" s="56">
        <v>1</v>
      </c>
      <c r="B519" s="36">
        <v>45658</v>
      </c>
      <c r="C519" s="46" t="s">
        <v>7</v>
      </c>
      <c r="D519" s="47"/>
      <c r="E519" s="47"/>
      <c r="F519" s="47">
        <f>D519</f>
        <v>0</v>
      </c>
      <c r="G519" s="56"/>
    </row>
    <row r="520" spans="1:7" x14ac:dyDescent="0.2">
      <c r="A520" s="57">
        <v>2</v>
      </c>
      <c r="B520" s="36">
        <v>45764</v>
      </c>
      <c r="C520" s="48" t="s">
        <v>97</v>
      </c>
      <c r="D520" s="50">
        <v>1</v>
      </c>
      <c r="E520" s="50"/>
      <c r="F520" s="50">
        <f>F519+D520-E520</f>
        <v>1</v>
      </c>
      <c r="G520" s="74" t="s">
        <v>50</v>
      </c>
    </row>
    <row r="521" spans="1:7" x14ac:dyDescent="0.2">
      <c r="A521" s="57">
        <v>3</v>
      </c>
      <c r="B521" s="36">
        <v>45764</v>
      </c>
      <c r="C521" s="55" t="s">
        <v>11</v>
      </c>
      <c r="D521" s="50"/>
      <c r="E521" s="50">
        <v>1</v>
      </c>
      <c r="F521" s="50">
        <f t="shared" ref="F521:F525" si="34">F520+D521-E521</f>
        <v>0</v>
      </c>
      <c r="G521" s="74" t="s">
        <v>50</v>
      </c>
    </row>
    <row r="522" spans="1:7" x14ac:dyDescent="0.2">
      <c r="A522" s="57">
        <v>4</v>
      </c>
      <c r="B522" s="43">
        <v>45871</v>
      </c>
      <c r="C522" s="48" t="s">
        <v>97</v>
      </c>
      <c r="D522" s="52">
        <v>1</v>
      </c>
      <c r="E522" s="52"/>
      <c r="F522" s="50">
        <f t="shared" si="34"/>
        <v>1</v>
      </c>
      <c r="G522" s="74" t="s">
        <v>50</v>
      </c>
    </row>
    <row r="523" spans="1:7" x14ac:dyDescent="0.2">
      <c r="A523" s="57">
        <v>5</v>
      </c>
      <c r="B523" s="43">
        <v>45871</v>
      </c>
      <c r="C523" s="55" t="s">
        <v>11</v>
      </c>
      <c r="D523" s="52"/>
      <c r="E523" s="52">
        <v>1</v>
      </c>
      <c r="F523" s="50">
        <f t="shared" si="34"/>
        <v>0</v>
      </c>
      <c r="G523" s="74" t="s">
        <v>50</v>
      </c>
    </row>
    <row r="524" spans="1:7" x14ac:dyDescent="0.2">
      <c r="A524" s="57">
        <v>6</v>
      </c>
      <c r="B524" s="43"/>
      <c r="C524" s="55"/>
      <c r="D524" s="52"/>
      <c r="E524" s="52"/>
      <c r="F524" s="50">
        <f t="shared" si="34"/>
        <v>0</v>
      </c>
      <c r="G524" s="74"/>
    </row>
    <row r="525" spans="1:7" x14ac:dyDescent="0.2">
      <c r="A525" s="57">
        <v>7</v>
      </c>
      <c r="B525" s="43"/>
      <c r="C525" s="55"/>
      <c r="D525" s="52"/>
      <c r="E525" s="52"/>
      <c r="F525" s="50">
        <f t="shared" si="34"/>
        <v>0</v>
      </c>
      <c r="G525" s="74"/>
    </row>
    <row r="526" spans="1:7" x14ac:dyDescent="0.2">
      <c r="A526" s="58"/>
      <c r="B526" s="44"/>
      <c r="C526" s="59"/>
      <c r="D526" s="72"/>
      <c r="E526" s="72"/>
      <c r="F526" s="61"/>
      <c r="G526" s="58"/>
    </row>
    <row r="527" spans="1:7" x14ac:dyDescent="0.2">
      <c r="A527" s="78"/>
      <c r="B527" s="83"/>
      <c r="C527" s="80"/>
      <c r="D527" s="81"/>
      <c r="E527" s="81"/>
      <c r="F527" s="82"/>
      <c r="G527" s="78"/>
    </row>
    <row r="528" spans="1:7" ht="15.75" x14ac:dyDescent="0.25">
      <c r="A528" s="64" t="s">
        <v>8</v>
      </c>
      <c r="B528" s="65"/>
      <c r="C528" s="64" t="s">
        <v>64</v>
      </c>
      <c r="D528" s="65"/>
      <c r="E528" s="65"/>
      <c r="F528" s="65"/>
      <c r="G528" s="65"/>
    </row>
    <row r="529" spans="1:7" ht="15.75" x14ac:dyDescent="0.25">
      <c r="A529" s="64" t="s">
        <v>9</v>
      </c>
      <c r="B529" s="65"/>
      <c r="C529" s="64" t="s">
        <v>45</v>
      </c>
      <c r="D529" s="65"/>
      <c r="E529" s="65"/>
      <c r="F529" s="65"/>
      <c r="G529" s="65"/>
    </row>
    <row r="531" spans="1:7" x14ac:dyDescent="0.2">
      <c r="A531" s="66" t="s">
        <v>0</v>
      </c>
      <c r="B531" s="67" t="s">
        <v>1</v>
      </c>
      <c r="C531" s="66" t="s">
        <v>3</v>
      </c>
      <c r="D531" s="66" t="s">
        <v>4</v>
      </c>
      <c r="E531" s="66" t="s">
        <v>5</v>
      </c>
      <c r="F531" s="66" t="s">
        <v>6</v>
      </c>
      <c r="G531" s="66" t="s">
        <v>2</v>
      </c>
    </row>
    <row r="532" spans="1:7" x14ac:dyDescent="0.2">
      <c r="A532" s="56">
        <v>1</v>
      </c>
      <c r="B532" s="75">
        <v>45658</v>
      </c>
      <c r="C532" s="46" t="s">
        <v>7</v>
      </c>
      <c r="D532" s="47"/>
      <c r="E532" s="47"/>
      <c r="F532" s="47">
        <f>D532</f>
        <v>0</v>
      </c>
      <c r="G532" s="56"/>
    </row>
    <row r="533" spans="1:7" x14ac:dyDescent="0.2">
      <c r="A533" s="57">
        <v>2</v>
      </c>
      <c r="B533" s="36"/>
      <c r="C533" s="48"/>
      <c r="D533" s="50"/>
      <c r="E533" s="50"/>
      <c r="F533" s="50">
        <f>F532+D533-E533</f>
        <v>0</v>
      </c>
      <c r="G533" s="74"/>
    </row>
    <row r="534" spans="1:7" x14ac:dyDescent="0.2">
      <c r="A534" s="57">
        <v>3</v>
      </c>
      <c r="B534" s="36"/>
      <c r="C534" s="55"/>
      <c r="D534" s="50"/>
      <c r="E534" s="50"/>
      <c r="F534" s="50">
        <f t="shared" ref="F534:F535" si="35">F533+D534-E534</f>
        <v>0</v>
      </c>
      <c r="G534" s="74"/>
    </row>
    <row r="535" spans="1:7" x14ac:dyDescent="0.2">
      <c r="A535" s="74"/>
      <c r="B535" s="43"/>
      <c r="C535" s="55"/>
      <c r="D535" s="52"/>
      <c r="E535" s="52"/>
      <c r="F535" s="50">
        <f t="shared" si="35"/>
        <v>0</v>
      </c>
      <c r="G535" s="74"/>
    </row>
    <row r="536" spans="1:7" x14ac:dyDescent="0.2">
      <c r="A536" s="58"/>
      <c r="B536" s="44"/>
      <c r="C536" s="59"/>
      <c r="D536" s="72"/>
      <c r="E536" s="72"/>
      <c r="F536" s="61"/>
      <c r="G536" s="58"/>
    </row>
    <row r="538" spans="1:7" ht="15.75" x14ac:dyDescent="0.25">
      <c r="A538" s="64" t="s">
        <v>8</v>
      </c>
      <c r="B538" s="65"/>
      <c r="C538" s="64" t="s">
        <v>65</v>
      </c>
      <c r="D538" s="65"/>
      <c r="E538" s="65"/>
      <c r="F538" s="65"/>
      <c r="G538" s="65"/>
    </row>
    <row r="539" spans="1:7" ht="15.75" x14ac:dyDescent="0.25">
      <c r="A539" s="64" t="s">
        <v>9</v>
      </c>
      <c r="B539" s="65"/>
      <c r="C539" s="64" t="s">
        <v>45</v>
      </c>
      <c r="D539" s="65"/>
      <c r="E539" s="65"/>
      <c r="F539" s="65"/>
      <c r="G539" s="65"/>
    </row>
    <row r="541" spans="1:7" x14ac:dyDescent="0.2">
      <c r="A541" s="66" t="s">
        <v>0</v>
      </c>
      <c r="B541" s="67" t="s">
        <v>1</v>
      </c>
      <c r="C541" s="66" t="s">
        <v>3</v>
      </c>
      <c r="D541" s="66" t="s">
        <v>4</v>
      </c>
      <c r="E541" s="66" t="s">
        <v>5</v>
      </c>
      <c r="F541" s="66" t="s">
        <v>6</v>
      </c>
      <c r="G541" s="66" t="s">
        <v>2</v>
      </c>
    </row>
    <row r="542" spans="1:7" x14ac:dyDescent="0.2">
      <c r="A542" s="56">
        <v>1</v>
      </c>
      <c r="B542" s="36">
        <v>45658</v>
      </c>
      <c r="C542" s="46" t="s">
        <v>7</v>
      </c>
      <c r="D542" s="47"/>
      <c r="E542" s="47"/>
      <c r="F542" s="47">
        <f>D542</f>
        <v>0</v>
      </c>
      <c r="G542" s="56"/>
    </row>
    <row r="543" spans="1:7" x14ac:dyDescent="0.2">
      <c r="A543" s="57">
        <v>2</v>
      </c>
      <c r="B543" s="36">
        <v>45764</v>
      </c>
      <c r="C543" s="48" t="s">
        <v>97</v>
      </c>
      <c r="D543" s="50">
        <v>1</v>
      </c>
      <c r="E543" s="50"/>
      <c r="F543" s="50">
        <f>F542+D543-E543</f>
        <v>1</v>
      </c>
      <c r="G543" s="74" t="s">
        <v>42</v>
      </c>
    </row>
    <row r="544" spans="1:7" x14ac:dyDescent="0.2">
      <c r="A544" s="56">
        <v>3</v>
      </c>
      <c r="B544" s="36">
        <v>45764</v>
      </c>
      <c r="C544" s="55" t="s">
        <v>11</v>
      </c>
      <c r="D544" s="50"/>
      <c r="E544" s="50">
        <v>1</v>
      </c>
      <c r="F544" s="50">
        <f t="shared" ref="F544:F549" si="36">F543+D544-E544</f>
        <v>0</v>
      </c>
      <c r="G544" s="57" t="s">
        <v>42</v>
      </c>
    </row>
    <row r="545" spans="1:7" x14ac:dyDescent="0.2">
      <c r="A545" s="57">
        <v>4</v>
      </c>
      <c r="B545" s="43">
        <v>45852</v>
      </c>
      <c r="C545" s="55" t="s">
        <v>137</v>
      </c>
      <c r="D545" s="52">
        <v>2</v>
      </c>
      <c r="E545" s="52"/>
      <c r="F545" s="50">
        <f t="shared" si="36"/>
        <v>2</v>
      </c>
      <c r="G545" s="74" t="s">
        <v>42</v>
      </c>
    </row>
    <row r="546" spans="1:7" x14ac:dyDescent="0.2">
      <c r="A546" s="56">
        <v>5</v>
      </c>
      <c r="B546" s="43">
        <v>45852</v>
      </c>
      <c r="C546" s="55" t="s">
        <v>11</v>
      </c>
      <c r="D546" s="52"/>
      <c r="E546" s="52">
        <v>2</v>
      </c>
      <c r="F546" s="50">
        <f t="shared" si="36"/>
        <v>0</v>
      </c>
      <c r="G546" s="74" t="s">
        <v>42</v>
      </c>
    </row>
    <row r="547" spans="1:7" x14ac:dyDescent="0.2">
      <c r="A547" s="57">
        <v>6</v>
      </c>
      <c r="B547" s="43">
        <v>46008</v>
      </c>
      <c r="C547" s="48" t="s">
        <v>97</v>
      </c>
      <c r="D547" s="52">
        <v>2</v>
      </c>
      <c r="E547" s="52"/>
      <c r="F547" s="50">
        <f t="shared" si="36"/>
        <v>2</v>
      </c>
      <c r="G547" s="74" t="s">
        <v>42</v>
      </c>
    </row>
    <row r="548" spans="1:7" x14ac:dyDescent="0.2">
      <c r="A548" s="56">
        <v>7</v>
      </c>
      <c r="B548" s="43">
        <v>46008</v>
      </c>
      <c r="C548" s="55" t="s">
        <v>11</v>
      </c>
      <c r="D548" s="52"/>
      <c r="E548" s="52">
        <v>2</v>
      </c>
      <c r="F548" s="50">
        <f t="shared" si="36"/>
        <v>0</v>
      </c>
      <c r="G548" s="74" t="s">
        <v>42</v>
      </c>
    </row>
    <row r="549" spans="1:7" x14ac:dyDescent="0.2">
      <c r="A549" s="57">
        <v>8</v>
      </c>
      <c r="B549" s="43"/>
      <c r="C549" s="55"/>
      <c r="D549" s="52"/>
      <c r="E549" s="52"/>
      <c r="F549" s="50">
        <f t="shared" si="36"/>
        <v>0</v>
      </c>
      <c r="G549" s="74"/>
    </row>
    <row r="550" spans="1:7" x14ac:dyDescent="0.2">
      <c r="A550" s="58"/>
      <c r="B550" s="44"/>
      <c r="C550" s="59"/>
      <c r="D550" s="72"/>
      <c r="E550" s="72"/>
      <c r="F550" s="61"/>
      <c r="G550" s="58"/>
    </row>
    <row r="552" spans="1:7" ht="15.75" x14ac:dyDescent="0.25">
      <c r="A552" s="64" t="s">
        <v>8</v>
      </c>
      <c r="B552" s="65"/>
      <c r="C552" s="64" t="s">
        <v>66</v>
      </c>
      <c r="D552" s="65"/>
      <c r="E552" s="65"/>
      <c r="F552" s="65"/>
      <c r="G552" s="65"/>
    </row>
    <row r="553" spans="1:7" ht="15.75" x14ac:dyDescent="0.25">
      <c r="A553" s="64" t="s">
        <v>9</v>
      </c>
      <c r="B553" s="65"/>
      <c r="C553" s="64" t="s">
        <v>45</v>
      </c>
      <c r="D553" s="65"/>
      <c r="E553" s="65"/>
      <c r="F553" s="65"/>
      <c r="G553" s="65"/>
    </row>
    <row r="555" spans="1:7" x14ac:dyDescent="0.2">
      <c r="A555" s="66" t="s">
        <v>0</v>
      </c>
      <c r="B555" s="67" t="s">
        <v>1</v>
      </c>
      <c r="C555" s="66" t="s">
        <v>3</v>
      </c>
      <c r="D555" s="66" t="s">
        <v>4</v>
      </c>
      <c r="E555" s="66" t="s">
        <v>5</v>
      </c>
      <c r="F555" s="66" t="s">
        <v>6</v>
      </c>
      <c r="G555" s="66" t="s">
        <v>2</v>
      </c>
    </row>
    <row r="556" spans="1:7" x14ac:dyDescent="0.2">
      <c r="A556" s="56">
        <v>1</v>
      </c>
      <c r="B556" s="36">
        <v>45658</v>
      </c>
      <c r="C556" s="46" t="s">
        <v>7</v>
      </c>
      <c r="D556" s="47"/>
      <c r="E556" s="47"/>
      <c r="F556" s="47">
        <f>D556</f>
        <v>0</v>
      </c>
      <c r="G556" s="56"/>
    </row>
    <row r="557" spans="1:7" x14ac:dyDescent="0.2">
      <c r="A557" s="57">
        <v>2</v>
      </c>
      <c r="B557" s="36">
        <v>45764</v>
      </c>
      <c r="C557" s="48" t="s">
        <v>97</v>
      </c>
      <c r="D557" s="50">
        <v>1</v>
      </c>
      <c r="E557" s="50"/>
      <c r="F557" s="50">
        <f>F556+D557-E557</f>
        <v>1</v>
      </c>
      <c r="G557" s="74" t="s">
        <v>50</v>
      </c>
    </row>
    <row r="558" spans="1:7" x14ac:dyDescent="0.2">
      <c r="A558" s="57">
        <v>3</v>
      </c>
      <c r="B558" s="36">
        <v>45764</v>
      </c>
      <c r="C558" s="55" t="s">
        <v>11</v>
      </c>
      <c r="D558" s="50"/>
      <c r="E558" s="50">
        <v>1</v>
      </c>
      <c r="F558" s="50">
        <f t="shared" ref="F558:F560" si="37">F557+D558-E558</f>
        <v>0</v>
      </c>
      <c r="G558" s="74" t="s">
        <v>50</v>
      </c>
    </row>
    <row r="559" spans="1:7" x14ac:dyDescent="0.2">
      <c r="A559" s="74">
        <v>4</v>
      </c>
      <c r="B559" s="43">
        <v>45852</v>
      </c>
      <c r="C559" s="55" t="s">
        <v>137</v>
      </c>
      <c r="D559" s="52">
        <v>3</v>
      </c>
      <c r="E559" s="52"/>
      <c r="F559" s="50">
        <f t="shared" si="37"/>
        <v>3</v>
      </c>
      <c r="G559" s="74" t="s">
        <v>50</v>
      </c>
    </row>
    <row r="560" spans="1:7" x14ac:dyDescent="0.2">
      <c r="A560" s="74">
        <v>5</v>
      </c>
      <c r="B560" s="43">
        <v>45852</v>
      </c>
      <c r="C560" s="55" t="s">
        <v>11</v>
      </c>
      <c r="D560" s="52"/>
      <c r="E560" s="52">
        <v>3</v>
      </c>
      <c r="F560" s="50">
        <f t="shared" si="37"/>
        <v>0</v>
      </c>
      <c r="G560" s="74" t="s">
        <v>50</v>
      </c>
    </row>
    <row r="561" spans="1:7" x14ac:dyDescent="0.2">
      <c r="A561" s="74"/>
      <c r="B561" s="43"/>
      <c r="C561" s="55"/>
      <c r="D561" s="52"/>
      <c r="E561" s="52"/>
      <c r="F561" s="52"/>
      <c r="G561" s="74"/>
    </row>
    <row r="562" spans="1:7" x14ac:dyDescent="0.2">
      <c r="A562" s="58"/>
      <c r="B562" s="44"/>
      <c r="C562" s="59"/>
      <c r="D562" s="72"/>
      <c r="E562" s="72"/>
      <c r="F562" s="61"/>
      <c r="G562" s="58"/>
    </row>
    <row r="564" spans="1:7" ht="15.75" x14ac:dyDescent="0.25">
      <c r="A564" s="64" t="s">
        <v>8</v>
      </c>
      <c r="B564" s="65"/>
      <c r="C564" s="64" t="s">
        <v>67</v>
      </c>
      <c r="D564" s="65"/>
      <c r="E564" s="65"/>
      <c r="F564" s="65"/>
      <c r="G564" s="65"/>
    </row>
    <row r="565" spans="1:7" ht="15.75" x14ac:dyDescent="0.25">
      <c r="A565" s="64" t="s">
        <v>9</v>
      </c>
      <c r="B565" s="65"/>
      <c r="C565" s="64" t="s">
        <v>47</v>
      </c>
      <c r="D565" s="65"/>
      <c r="E565" s="65"/>
      <c r="F565" s="65"/>
      <c r="G565" s="65"/>
    </row>
    <row r="567" spans="1:7" x14ac:dyDescent="0.2">
      <c r="A567" s="66" t="s">
        <v>0</v>
      </c>
      <c r="B567" s="67" t="s">
        <v>1</v>
      </c>
      <c r="C567" s="66" t="s">
        <v>3</v>
      </c>
      <c r="D567" s="66" t="s">
        <v>4</v>
      </c>
      <c r="E567" s="66" t="s">
        <v>5</v>
      </c>
      <c r="F567" s="66" t="s">
        <v>6</v>
      </c>
      <c r="G567" s="66" t="s">
        <v>2</v>
      </c>
    </row>
    <row r="568" spans="1:7" x14ac:dyDescent="0.2">
      <c r="A568" s="56">
        <v>1</v>
      </c>
      <c r="B568" s="36">
        <v>45658</v>
      </c>
      <c r="C568" s="46" t="s">
        <v>7</v>
      </c>
      <c r="D568" s="47"/>
      <c r="E568" s="47"/>
      <c r="F568" s="47">
        <f>D568</f>
        <v>0</v>
      </c>
      <c r="G568" s="56"/>
    </row>
    <row r="569" spans="1:7" x14ac:dyDescent="0.2">
      <c r="A569" s="57">
        <v>2</v>
      </c>
      <c r="B569" s="36">
        <v>45764</v>
      </c>
      <c r="C569" s="48" t="s">
        <v>97</v>
      </c>
      <c r="D569" s="50">
        <v>5</v>
      </c>
      <c r="E569" s="50"/>
      <c r="F569" s="50">
        <f>F568+D569-E569</f>
        <v>5</v>
      </c>
      <c r="G569" s="74" t="s">
        <v>50</v>
      </c>
    </row>
    <row r="570" spans="1:7" x14ac:dyDescent="0.2">
      <c r="A570" s="56">
        <v>3</v>
      </c>
      <c r="B570" s="36">
        <v>45764</v>
      </c>
      <c r="C570" s="55" t="s">
        <v>11</v>
      </c>
      <c r="D570" s="50"/>
      <c r="E570" s="50">
        <v>5</v>
      </c>
      <c r="F570" s="50">
        <f t="shared" ref="F570:F573" si="38">F569+D570-E570</f>
        <v>0</v>
      </c>
      <c r="G570" s="74" t="s">
        <v>50</v>
      </c>
    </row>
    <row r="571" spans="1:7" x14ac:dyDescent="0.2">
      <c r="A571" s="57">
        <v>4</v>
      </c>
      <c r="B571" s="36"/>
      <c r="C571" s="48"/>
      <c r="D571" s="50"/>
      <c r="E571" s="50"/>
      <c r="F571" s="50">
        <f t="shared" si="38"/>
        <v>0</v>
      </c>
      <c r="G571" s="74"/>
    </row>
    <row r="572" spans="1:7" x14ac:dyDescent="0.2">
      <c r="A572" s="56">
        <v>5</v>
      </c>
      <c r="B572" s="36"/>
      <c r="C572" s="48"/>
      <c r="D572" s="50"/>
      <c r="E572" s="52"/>
      <c r="F572" s="50">
        <f t="shared" si="38"/>
        <v>0</v>
      </c>
      <c r="G572" s="74"/>
    </row>
    <row r="573" spans="1:7" x14ac:dyDescent="0.2">
      <c r="A573" s="57">
        <v>6</v>
      </c>
      <c r="B573" s="36"/>
      <c r="C573" s="48"/>
      <c r="D573" s="50"/>
      <c r="E573" s="50"/>
      <c r="F573" s="50">
        <f t="shared" si="38"/>
        <v>0</v>
      </c>
      <c r="G573" s="57"/>
    </row>
    <row r="574" spans="1:7" x14ac:dyDescent="0.2">
      <c r="A574" s="56">
        <v>7</v>
      </c>
      <c r="B574" s="36"/>
      <c r="C574" s="48"/>
      <c r="D574" s="52"/>
      <c r="E574" s="52"/>
      <c r="F574" s="50">
        <f t="shared" ref="F574:F577" si="39">F573+D574-E574</f>
        <v>0</v>
      </c>
      <c r="G574" s="57"/>
    </row>
    <row r="575" spans="1:7" x14ac:dyDescent="0.2">
      <c r="A575" s="57">
        <v>8</v>
      </c>
      <c r="B575" s="36"/>
      <c r="C575" s="48"/>
      <c r="D575" s="50"/>
      <c r="E575" s="50"/>
      <c r="F575" s="50">
        <f t="shared" si="39"/>
        <v>0</v>
      </c>
      <c r="G575" s="57"/>
    </row>
    <row r="576" spans="1:7" x14ac:dyDescent="0.2">
      <c r="A576" s="56">
        <v>9</v>
      </c>
      <c r="B576" s="36"/>
      <c r="C576" s="48"/>
      <c r="D576" s="52"/>
      <c r="E576" s="52"/>
      <c r="F576" s="50">
        <f t="shared" si="39"/>
        <v>0</v>
      </c>
      <c r="G576" s="57"/>
    </row>
    <row r="577" spans="1:7" x14ac:dyDescent="0.2">
      <c r="A577" s="57">
        <v>10</v>
      </c>
      <c r="B577" s="43"/>
      <c r="C577" s="48"/>
      <c r="D577" s="52"/>
      <c r="E577" s="52"/>
      <c r="F577" s="50">
        <f t="shared" si="39"/>
        <v>0</v>
      </c>
      <c r="G577" s="57"/>
    </row>
    <row r="578" spans="1:7" x14ac:dyDescent="0.2">
      <c r="A578" s="58"/>
      <c r="B578" s="44"/>
      <c r="C578" s="59"/>
      <c r="D578" s="72"/>
      <c r="E578" s="72"/>
      <c r="F578" s="61"/>
      <c r="G578" s="58"/>
    </row>
    <row r="580" spans="1:7" ht="15.75" x14ac:dyDescent="0.25">
      <c r="A580" s="64" t="s">
        <v>8</v>
      </c>
      <c r="B580" s="65"/>
      <c r="C580" s="64" t="s">
        <v>71</v>
      </c>
      <c r="D580" s="65"/>
      <c r="E580" s="65"/>
      <c r="F580" s="65"/>
      <c r="G580" s="65"/>
    </row>
    <row r="581" spans="1:7" ht="15.75" x14ac:dyDescent="0.25">
      <c r="A581" s="64" t="s">
        <v>9</v>
      </c>
      <c r="B581" s="65"/>
      <c r="C581" s="64" t="s">
        <v>72</v>
      </c>
      <c r="D581" s="65"/>
      <c r="E581" s="65"/>
      <c r="F581" s="65"/>
      <c r="G581" s="65"/>
    </row>
    <row r="583" spans="1:7" x14ac:dyDescent="0.2">
      <c r="A583" s="66" t="s">
        <v>0</v>
      </c>
      <c r="B583" s="67" t="s">
        <v>1</v>
      </c>
      <c r="C583" s="66" t="s">
        <v>3</v>
      </c>
      <c r="D583" s="66" t="s">
        <v>4</v>
      </c>
      <c r="E583" s="66" t="s">
        <v>5</v>
      </c>
      <c r="F583" s="66" t="s">
        <v>6</v>
      </c>
      <c r="G583" s="66" t="s">
        <v>2</v>
      </c>
    </row>
    <row r="584" spans="1:7" x14ac:dyDescent="0.2">
      <c r="A584" s="56">
        <v>1</v>
      </c>
      <c r="B584" s="75">
        <v>45658</v>
      </c>
      <c r="C584" s="46" t="s">
        <v>7</v>
      </c>
      <c r="D584" s="47"/>
      <c r="E584" s="47"/>
      <c r="F584" s="47">
        <f>D584</f>
        <v>0</v>
      </c>
      <c r="G584" s="56"/>
    </row>
    <row r="585" spans="1:7" x14ac:dyDescent="0.2">
      <c r="A585" s="57">
        <v>2</v>
      </c>
      <c r="B585" s="36"/>
      <c r="C585" s="48"/>
      <c r="D585" s="50"/>
      <c r="E585" s="50"/>
      <c r="F585" s="50">
        <f>F584+D585-E585</f>
        <v>0</v>
      </c>
      <c r="G585" s="74"/>
    </row>
    <row r="586" spans="1:7" x14ac:dyDescent="0.2">
      <c r="A586" s="57">
        <v>3</v>
      </c>
      <c r="B586" s="36"/>
      <c r="C586" s="48"/>
      <c r="D586" s="50"/>
      <c r="E586" s="50"/>
      <c r="F586" s="50">
        <f t="shared" ref="F586:F587" si="40">F585+D586-E586</f>
        <v>0</v>
      </c>
      <c r="G586" s="74"/>
    </row>
    <row r="587" spans="1:7" x14ac:dyDescent="0.2">
      <c r="A587" s="74"/>
      <c r="B587" s="43"/>
      <c r="C587" s="55"/>
      <c r="D587" s="52"/>
      <c r="E587" s="52"/>
      <c r="F587" s="50">
        <f t="shared" si="40"/>
        <v>0</v>
      </c>
      <c r="G587" s="74"/>
    </row>
    <row r="588" spans="1:7" x14ac:dyDescent="0.2">
      <c r="A588" s="58"/>
      <c r="B588" s="44"/>
      <c r="C588" s="59"/>
      <c r="D588" s="72"/>
      <c r="E588" s="72"/>
      <c r="F588" s="61"/>
      <c r="G588" s="58"/>
    </row>
    <row r="590" spans="1:7" ht="15.75" x14ac:dyDescent="0.25">
      <c r="A590" s="64" t="s">
        <v>8</v>
      </c>
      <c r="B590" s="65"/>
      <c r="C590" s="64" t="s">
        <v>76</v>
      </c>
      <c r="D590" s="65"/>
      <c r="E590" s="65"/>
      <c r="F590" s="65"/>
      <c r="G590" s="65"/>
    </row>
    <row r="591" spans="1:7" ht="15.75" x14ac:dyDescent="0.25">
      <c r="A591" s="64" t="s">
        <v>9</v>
      </c>
      <c r="B591" s="65"/>
      <c r="C591" s="64" t="s">
        <v>47</v>
      </c>
      <c r="D591" s="65"/>
      <c r="E591" s="65"/>
      <c r="F591" s="65"/>
      <c r="G591" s="65"/>
    </row>
    <row r="593" spans="1:7" x14ac:dyDescent="0.2">
      <c r="A593" s="66" t="s">
        <v>0</v>
      </c>
      <c r="B593" s="67" t="s">
        <v>1</v>
      </c>
      <c r="C593" s="66" t="s">
        <v>3</v>
      </c>
      <c r="D593" s="66" t="s">
        <v>4</v>
      </c>
      <c r="E593" s="66" t="s">
        <v>5</v>
      </c>
      <c r="F593" s="66" t="s">
        <v>6</v>
      </c>
      <c r="G593" s="66" t="s">
        <v>2</v>
      </c>
    </row>
    <row r="594" spans="1:7" x14ac:dyDescent="0.2">
      <c r="A594" s="56">
        <v>1</v>
      </c>
      <c r="B594" s="75">
        <v>45658</v>
      </c>
      <c r="C594" s="46" t="s">
        <v>7</v>
      </c>
      <c r="D594" s="47"/>
      <c r="E594" s="47"/>
      <c r="F594" s="47">
        <f>D594</f>
        <v>0</v>
      </c>
      <c r="G594" s="56"/>
    </row>
    <row r="595" spans="1:7" x14ac:dyDescent="0.2">
      <c r="A595" s="57">
        <v>2</v>
      </c>
      <c r="B595" s="36"/>
      <c r="C595" s="48"/>
      <c r="D595" s="50"/>
      <c r="E595" s="50"/>
      <c r="F595" s="50">
        <f>F594+D595-E595</f>
        <v>0</v>
      </c>
      <c r="G595" s="74"/>
    </row>
    <row r="596" spans="1:7" x14ac:dyDescent="0.2">
      <c r="A596" s="57">
        <v>3</v>
      </c>
      <c r="B596" s="36"/>
      <c r="C596" s="48"/>
      <c r="D596" s="50"/>
      <c r="E596" s="50"/>
      <c r="F596" s="50">
        <f t="shared" ref="F596:F598" si="41">F595+D596-E596</f>
        <v>0</v>
      </c>
      <c r="G596" s="74"/>
    </row>
    <row r="597" spans="1:7" x14ac:dyDescent="0.2">
      <c r="A597" s="57">
        <v>4</v>
      </c>
      <c r="B597" s="36"/>
      <c r="C597" s="48"/>
      <c r="D597" s="50"/>
      <c r="E597" s="50"/>
      <c r="F597" s="50">
        <f t="shared" si="41"/>
        <v>0</v>
      </c>
      <c r="G597" s="74"/>
    </row>
    <row r="598" spans="1:7" x14ac:dyDescent="0.2">
      <c r="A598" s="57">
        <v>5</v>
      </c>
      <c r="B598" s="36"/>
      <c r="C598" s="48"/>
      <c r="D598" s="50"/>
      <c r="E598" s="50"/>
      <c r="F598" s="50">
        <f t="shared" si="41"/>
        <v>0</v>
      </c>
      <c r="G598" s="74"/>
    </row>
    <row r="599" spans="1:7" x14ac:dyDescent="0.2">
      <c r="A599" s="58"/>
      <c r="B599" s="44"/>
      <c r="C599" s="59"/>
      <c r="D599" s="72"/>
      <c r="E599" s="72"/>
      <c r="F599" s="61"/>
      <c r="G599" s="58"/>
    </row>
    <row r="601" spans="1:7" ht="15.75" x14ac:dyDescent="0.25">
      <c r="A601" s="64" t="s">
        <v>8</v>
      </c>
      <c r="B601" s="65"/>
      <c r="C601" s="64" t="s">
        <v>77</v>
      </c>
      <c r="D601" s="65"/>
      <c r="E601" s="65"/>
      <c r="F601" s="65"/>
      <c r="G601" s="65"/>
    </row>
    <row r="602" spans="1:7" ht="15.75" x14ac:dyDescent="0.25">
      <c r="A602" s="64" t="s">
        <v>9</v>
      </c>
      <c r="B602" s="65"/>
      <c r="C602" s="64" t="s">
        <v>47</v>
      </c>
      <c r="D602" s="65"/>
      <c r="E602" s="65"/>
      <c r="F602" s="65"/>
      <c r="G602" s="65"/>
    </row>
    <row r="604" spans="1:7" x14ac:dyDescent="0.2">
      <c r="A604" s="66" t="s">
        <v>0</v>
      </c>
      <c r="B604" s="67" t="s">
        <v>1</v>
      </c>
      <c r="C604" s="66" t="s">
        <v>3</v>
      </c>
      <c r="D604" s="66" t="s">
        <v>4</v>
      </c>
      <c r="E604" s="66" t="s">
        <v>5</v>
      </c>
      <c r="F604" s="66" t="s">
        <v>6</v>
      </c>
      <c r="G604" s="66" t="s">
        <v>2</v>
      </c>
    </row>
    <row r="605" spans="1:7" x14ac:dyDescent="0.2">
      <c r="A605" s="56">
        <v>1</v>
      </c>
      <c r="B605" s="36">
        <v>45658</v>
      </c>
      <c r="C605" s="46" t="s">
        <v>7</v>
      </c>
      <c r="D605" s="47"/>
      <c r="E605" s="47"/>
      <c r="F605" s="47">
        <f>D605</f>
        <v>0</v>
      </c>
      <c r="G605" s="56"/>
    </row>
    <row r="606" spans="1:7" x14ac:dyDescent="0.2">
      <c r="A606" s="57">
        <v>2</v>
      </c>
      <c r="B606" s="36">
        <v>45764</v>
      </c>
      <c r="C606" s="48" t="s">
        <v>97</v>
      </c>
      <c r="D606" s="50">
        <v>1</v>
      </c>
      <c r="E606" s="50"/>
      <c r="F606" s="50">
        <f>F605+D606-E606</f>
        <v>1</v>
      </c>
      <c r="G606" s="74" t="s">
        <v>50</v>
      </c>
    </row>
    <row r="607" spans="1:7" x14ac:dyDescent="0.2">
      <c r="A607" s="57">
        <v>3</v>
      </c>
      <c r="B607" s="36">
        <v>45764</v>
      </c>
      <c r="C607" s="48" t="s">
        <v>11</v>
      </c>
      <c r="D607" s="50"/>
      <c r="E607" s="50">
        <v>1</v>
      </c>
      <c r="F607" s="50">
        <f t="shared" ref="F607:F616" si="42">F606+D607-E607</f>
        <v>0</v>
      </c>
      <c r="G607" s="74" t="s">
        <v>50</v>
      </c>
    </row>
    <row r="608" spans="1:7" x14ac:dyDescent="0.2">
      <c r="A608" s="57">
        <v>4</v>
      </c>
      <c r="B608" s="36">
        <v>45852</v>
      </c>
      <c r="C608" s="48" t="s">
        <v>137</v>
      </c>
      <c r="D608" s="50">
        <v>1</v>
      </c>
      <c r="E608" s="50"/>
      <c r="F608" s="50">
        <f t="shared" si="42"/>
        <v>1</v>
      </c>
      <c r="G608" s="74" t="s">
        <v>50</v>
      </c>
    </row>
    <row r="609" spans="1:7" x14ac:dyDescent="0.2">
      <c r="A609" s="57">
        <v>5</v>
      </c>
      <c r="B609" s="36">
        <v>45852</v>
      </c>
      <c r="C609" s="48" t="s">
        <v>11</v>
      </c>
      <c r="D609" s="50"/>
      <c r="E609" s="50">
        <v>1</v>
      </c>
      <c r="F609" s="50">
        <f t="shared" si="42"/>
        <v>0</v>
      </c>
      <c r="G609" s="74" t="s">
        <v>50</v>
      </c>
    </row>
    <row r="610" spans="1:7" x14ac:dyDescent="0.2">
      <c r="A610" s="57">
        <v>6</v>
      </c>
      <c r="B610" s="36">
        <v>45871</v>
      </c>
      <c r="C610" s="48" t="s">
        <v>97</v>
      </c>
      <c r="D610" s="50">
        <v>1</v>
      </c>
      <c r="E610" s="50"/>
      <c r="F610" s="50">
        <f t="shared" si="42"/>
        <v>1</v>
      </c>
      <c r="G610" s="74" t="s">
        <v>50</v>
      </c>
    </row>
    <row r="611" spans="1:7" x14ac:dyDescent="0.2">
      <c r="A611" s="57">
        <v>7</v>
      </c>
      <c r="B611" s="36">
        <v>45871</v>
      </c>
      <c r="C611" s="48" t="s">
        <v>11</v>
      </c>
      <c r="D611" s="50"/>
      <c r="E611" s="50">
        <v>1</v>
      </c>
      <c r="F611" s="50">
        <f t="shared" si="42"/>
        <v>0</v>
      </c>
      <c r="G611" s="74" t="s">
        <v>50</v>
      </c>
    </row>
    <row r="612" spans="1:7" x14ac:dyDescent="0.2">
      <c r="A612" s="57">
        <v>8</v>
      </c>
      <c r="B612" s="43">
        <v>46000</v>
      </c>
      <c r="C612" s="48" t="s">
        <v>97</v>
      </c>
      <c r="D612" s="50">
        <v>2</v>
      </c>
      <c r="E612" s="50"/>
      <c r="F612" s="50">
        <f t="shared" si="42"/>
        <v>2</v>
      </c>
      <c r="G612" s="74" t="s">
        <v>151</v>
      </c>
    </row>
    <row r="613" spans="1:7" x14ac:dyDescent="0.2">
      <c r="A613" s="57">
        <v>9</v>
      </c>
      <c r="B613" s="43">
        <v>46000</v>
      </c>
      <c r="C613" s="48" t="s">
        <v>11</v>
      </c>
      <c r="D613" s="50"/>
      <c r="E613" s="50">
        <v>2</v>
      </c>
      <c r="F613" s="50">
        <f t="shared" si="42"/>
        <v>0</v>
      </c>
      <c r="G613" s="74" t="s">
        <v>151</v>
      </c>
    </row>
    <row r="614" spans="1:7" x14ac:dyDescent="0.2">
      <c r="A614" s="57">
        <v>10</v>
      </c>
      <c r="B614" s="43">
        <v>46008</v>
      </c>
      <c r="C614" s="48" t="s">
        <v>97</v>
      </c>
      <c r="D614" s="50">
        <v>2</v>
      </c>
      <c r="E614" s="50"/>
      <c r="F614" s="50">
        <f t="shared" si="42"/>
        <v>2</v>
      </c>
      <c r="G614" s="74" t="s">
        <v>158</v>
      </c>
    </row>
    <row r="615" spans="1:7" x14ac:dyDescent="0.2">
      <c r="A615" s="57">
        <v>11</v>
      </c>
      <c r="B615" s="43">
        <v>46008</v>
      </c>
      <c r="C615" s="48" t="s">
        <v>11</v>
      </c>
      <c r="D615" s="50"/>
      <c r="E615" s="50">
        <v>2</v>
      </c>
      <c r="F615" s="50">
        <f t="shared" si="42"/>
        <v>0</v>
      </c>
      <c r="G615" s="74" t="s">
        <v>158</v>
      </c>
    </row>
    <row r="616" spans="1:7" x14ac:dyDescent="0.2">
      <c r="A616" s="57">
        <v>12</v>
      </c>
      <c r="B616" s="43"/>
      <c r="C616" s="48"/>
      <c r="D616" s="50"/>
      <c r="E616" s="50"/>
      <c r="F616" s="50">
        <f t="shared" si="42"/>
        <v>0</v>
      </c>
      <c r="G616" s="74"/>
    </row>
    <row r="617" spans="1:7" x14ac:dyDescent="0.2">
      <c r="A617" s="58"/>
      <c r="B617" s="44"/>
      <c r="C617" s="59"/>
      <c r="D617" s="72"/>
      <c r="E617" s="72"/>
      <c r="F617" s="61"/>
      <c r="G617" s="58"/>
    </row>
    <row r="618" spans="1:7" x14ac:dyDescent="0.2">
      <c r="A618" s="78"/>
      <c r="B618" s="83"/>
      <c r="C618" s="80"/>
      <c r="D618" s="81"/>
      <c r="E618" s="81"/>
      <c r="F618" s="82"/>
      <c r="G618" s="78"/>
    </row>
    <row r="619" spans="1:7" ht="15.75" x14ac:dyDescent="0.25">
      <c r="A619" s="64" t="s">
        <v>8</v>
      </c>
      <c r="B619" s="65"/>
      <c r="C619" s="64" t="s">
        <v>99</v>
      </c>
      <c r="D619" s="65"/>
      <c r="E619" s="65"/>
      <c r="F619" s="65"/>
      <c r="G619" s="65"/>
    </row>
    <row r="620" spans="1:7" ht="15.75" x14ac:dyDescent="0.25">
      <c r="A620" s="64" t="s">
        <v>9</v>
      </c>
      <c r="B620" s="65"/>
      <c r="C620" s="64" t="s">
        <v>47</v>
      </c>
      <c r="D620" s="65"/>
      <c r="E620" s="65"/>
      <c r="F620" s="65"/>
      <c r="G620" s="65"/>
    </row>
    <row r="622" spans="1:7" x14ac:dyDescent="0.2">
      <c r="A622" s="66" t="s">
        <v>0</v>
      </c>
      <c r="B622" s="67" t="s">
        <v>1</v>
      </c>
      <c r="C622" s="66" t="s">
        <v>3</v>
      </c>
      <c r="D622" s="66" t="s">
        <v>4</v>
      </c>
      <c r="E622" s="66" t="s">
        <v>5</v>
      </c>
      <c r="F622" s="66" t="s">
        <v>6</v>
      </c>
      <c r="G622" s="66" t="s">
        <v>2</v>
      </c>
    </row>
    <row r="623" spans="1:7" x14ac:dyDescent="0.2">
      <c r="A623" s="56">
        <v>1</v>
      </c>
      <c r="B623" s="43">
        <v>45658</v>
      </c>
      <c r="C623" s="46" t="s">
        <v>7</v>
      </c>
      <c r="D623" s="47"/>
      <c r="E623" s="47"/>
      <c r="F623" s="47">
        <f>D623</f>
        <v>0</v>
      </c>
      <c r="G623" s="56"/>
    </row>
    <row r="624" spans="1:7" x14ac:dyDescent="0.2">
      <c r="A624" s="57">
        <v>2</v>
      </c>
      <c r="B624" s="43"/>
      <c r="C624" s="48"/>
      <c r="D624" s="50"/>
      <c r="E624" s="50"/>
      <c r="F624" s="50">
        <f>F623+D624-E624</f>
        <v>0</v>
      </c>
      <c r="G624" s="74"/>
    </row>
    <row r="625" spans="1:7" x14ac:dyDescent="0.2">
      <c r="A625" s="57">
        <v>3</v>
      </c>
      <c r="B625" s="43"/>
      <c r="C625" s="48"/>
      <c r="D625" s="50"/>
      <c r="E625" s="50"/>
      <c r="F625" s="50">
        <f t="shared" ref="F625:F631" si="43">F624+D625-E625</f>
        <v>0</v>
      </c>
      <c r="G625" s="74"/>
    </row>
    <row r="626" spans="1:7" x14ac:dyDescent="0.2">
      <c r="A626" s="57">
        <v>4</v>
      </c>
      <c r="B626" s="36"/>
      <c r="C626" s="48"/>
      <c r="D626" s="50"/>
      <c r="E626" s="50"/>
      <c r="F626" s="50">
        <f t="shared" si="43"/>
        <v>0</v>
      </c>
      <c r="G626" s="74"/>
    </row>
    <row r="627" spans="1:7" x14ac:dyDescent="0.2">
      <c r="A627" s="57">
        <v>5</v>
      </c>
      <c r="B627" s="36"/>
      <c r="C627" s="48"/>
      <c r="D627" s="50"/>
      <c r="E627" s="50"/>
      <c r="F627" s="50">
        <f t="shared" si="43"/>
        <v>0</v>
      </c>
      <c r="G627" s="74"/>
    </row>
    <row r="628" spans="1:7" x14ac:dyDescent="0.2">
      <c r="A628" s="57">
        <v>6</v>
      </c>
      <c r="B628" s="36"/>
      <c r="C628" s="48"/>
      <c r="D628" s="50"/>
      <c r="E628" s="50"/>
      <c r="F628" s="50">
        <f t="shared" si="43"/>
        <v>0</v>
      </c>
      <c r="G628" s="74"/>
    </row>
    <row r="629" spans="1:7" x14ac:dyDescent="0.2">
      <c r="A629" s="57">
        <v>7</v>
      </c>
      <c r="B629" s="36"/>
      <c r="C629" s="48"/>
      <c r="D629" s="50"/>
      <c r="E629" s="50"/>
      <c r="F629" s="50">
        <f t="shared" si="43"/>
        <v>0</v>
      </c>
      <c r="G629" s="74"/>
    </row>
    <row r="630" spans="1:7" x14ac:dyDescent="0.2">
      <c r="A630" s="57">
        <v>8</v>
      </c>
      <c r="B630" s="43"/>
      <c r="C630" s="48"/>
      <c r="D630" s="50"/>
      <c r="E630" s="50"/>
      <c r="F630" s="50">
        <f t="shared" si="43"/>
        <v>0</v>
      </c>
      <c r="G630" s="74"/>
    </row>
    <row r="631" spans="1:7" x14ac:dyDescent="0.2">
      <c r="A631" s="57">
        <v>9</v>
      </c>
      <c r="B631" s="43"/>
      <c r="C631" s="48"/>
      <c r="D631" s="50"/>
      <c r="E631" s="50"/>
      <c r="F631" s="50">
        <f t="shared" si="43"/>
        <v>0</v>
      </c>
      <c r="G631" s="74"/>
    </row>
    <row r="632" spans="1:7" x14ac:dyDescent="0.2">
      <c r="A632" s="58"/>
      <c r="B632" s="44"/>
      <c r="C632" s="59"/>
      <c r="D632" s="72"/>
      <c r="E632" s="72"/>
      <c r="F632" s="61"/>
      <c r="G632" s="58"/>
    </row>
  </sheetData>
  <mergeCells count="3">
    <mergeCell ref="A1:G1"/>
    <mergeCell ref="A2:G2"/>
    <mergeCell ref="A3:G3"/>
  </mergeCells>
  <printOptions horizontalCentered="1"/>
  <pageMargins left="0.59055118110236227" right="0.39370078740157483" top="0.74803149606299213" bottom="0.74803149606299213" header="0.31496062992125984" footer="0.31496062992125984"/>
  <pageSetup paperSize="10000" scale="98" orientation="portrait" horizontalDpi="360" verticalDpi="360" r:id="rId1"/>
  <rowBreaks count="8" manualBreakCount="8">
    <brk id="159" max="16383" man="1"/>
    <brk id="226" max="16383" man="1"/>
    <brk id="311" max="16383" man="1"/>
    <brk id="351" max="16383" man="1"/>
    <brk id="432" max="16383" man="1"/>
    <brk id="486" max="16383" man="1"/>
    <brk id="563" max="16383" man="1"/>
    <brk id="6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view="pageBreakPreview" zoomScale="110" zoomScaleSheetLayoutView="110" workbookViewId="0">
      <pane xSplit="1" ySplit="3" topLeftCell="B136" activePane="bottomRight" state="frozen"/>
      <selection pane="topRight" activeCell="B1" sqref="B1"/>
      <selection pane="bottomLeft" activeCell="A4" sqref="A4"/>
      <selection pane="bottomRight" activeCell="G138" sqref="G138"/>
    </sheetView>
  </sheetViews>
  <sheetFormatPr defaultColWidth="9.140625" defaultRowHeight="14.25" x14ac:dyDescent="0.2"/>
  <cols>
    <col min="1" max="1" width="4.85546875" style="14" customWidth="1"/>
    <col min="2" max="2" width="13.42578125" style="20" customWidth="1"/>
    <col min="3" max="3" width="27.5703125" style="14" customWidth="1"/>
    <col min="4" max="6" width="9.140625" style="14"/>
    <col min="7" max="7" width="19.140625" style="14" customWidth="1"/>
    <col min="8" max="16384" width="9.140625" style="14"/>
  </cols>
  <sheetData>
    <row r="1" spans="1:7" s="1" customFormat="1" ht="15.75" x14ac:dyDescent="0.25">
      <c r="A1" s="105" t="s">
        <v>29</v>
      </c>
      <c r="B1" s="105"/>
      <c r="C1" s="105"/>
      <c r="D1" s="105"/>
      <c r="E1" s="105"/>
      <c r="F1" s="105"/>
      <c r="G1" s="105"/>
    </row>
    <row r="2" spans="1:7" s="1" customFormat="1" ht="15.75" x14ac:dyDescent="0.25">
      <c r="A2" s="105" t="s">
        <v>30</v>
      </c>
      <c r="B2" s="105"/>
      <c r="C2" s="105"/>
      <c r="D2" s="105"/>
      <c r="E2" s="105"/>
      <c r="F2" s="105"/>
      <c r="G2" s="105"/>
    </row>
    <row r="3" spans="1:7" s="1" customFormat="1" ht="15.75" x14ac:dyDescent="0.25">
      <c r="A3" s="105" t="s">
        <v>127</v>
      </c>
      <c r="B3" s="105"/>
      <c r="C3" s="105"/>
      <c r="D3" s="105"/>
      <c r="E3" s="105"/>
      <c r="F3" s="105"/>
      <c r="G3" s="105"/>
    </row>
    <row r="4" spans="1:7" s="1" customFormat="1" ht="15.75" x14ac:dyDescent="0.25">
      <c r="A4" s="2"/>
      <c r="B4" s="2"/>
      <c r="C4" s="2"/>
      <c r="D4" s="2"/>
      <c r="E4" s="2"/>
      <c r="F4" s="2"/>
      <c r="G4" s="2"/>
    </row>
    <row r="5" spans="1:7" s="1" customFormat="1" ht="15.75" x14ac:dyDescent="0.25">
      <c r="A5" s="3" t="s">
        <v>8</v>
      </c>
      <c r="B5" s="2"/>
      <c r="C5" s="3" t="s">
        <v>31</v>
      </c>
      <c r="D5" s="2"/>
      <c r="E5" s="2"/>
      <c r="F5" s="2"/>
      <c r="G5" s="2"/>
    </row>
    <row r="6" spans="1:7" s="1" customFormat="1" ht="15.75" x14ac:dyDescent="0.25">
      <c r="A6" s="3" t="s">
        <v>9</v>
      </c>
      <c r="B6" s="2"/>
      <c r="C6" s="3" t="s">
        <v>13</v>
      </c>
      <c r="D6" s="2"/>
      <c r="E6" s="2"/>
      <c r="F6" s="2"/>
      <c r="G6" s="2"/>
    </row>
    <row r="8" spans="1:7" s="6" customFormat="1" x14ac:dyDescent="0.2">
      <c r="A8" s="4" t="s">
        <v>0</v>
      </c>
      <c r="B8" s="5" t="s">
        <v>1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2</v>
      </c>
    </row>
    <row r="9" spans="1:7" s="6" customFormat="1" x14ac:dyDescent="0.2">
      <c r="A9" s="56">
        <v>1</v>
      </c>
      <c r="B9" s="45">
        <v>45658</v>
      </c>
      <c r="C9" s="46" t="s">
        <v>7</v>
      </c>
      <c r="D9" s="47"/>
      <c r="E9" s="47"/>
      <c r="F9" s="47">
        <v>0</v>
      </c>
      <c r="G9" s="56"/>
    </row>
    <row r="10" spans="1:7" s="6" customFormat="1" x14ac:dyDescent="0.2">
      <c r="A10" s="56">
        <v>2</v>
      </c>
      <c r="B10" s="45">
        <v>45738</v>
      </c>
      <c r="C10" s="46" t="s">
        <v>97</v>
      </c>
      <c r="D10" s="47">
        <v>200</v>
      </c>
      <c r="E10" s="47"/>
      <c r="F10" s="47">
        <f>F9+D10-E10</f>
        <v>200</v>
      </c>
      <c r="G10" s="68" t="s">
        <v>128</v>
      </c>
    </row>
    <row r="11" spans="1:7" s="6" customFormat="1" x14ac:dyDescent="0.2">
      <c r="A11" s="56">
        <v>3</v>
      </c>
      <c r="B11" s="45">
        <v>45738</v>
      </c>
      <c r="C11" s="46" t="s">
        <v>11</v>
      </c>
      <c r="D11" s="47"/>
      <c r="E11" s="47">
        <v>200</v>
      </c>
      <c r="F11" s="47">
        <f t="shared" ref="F11:F30" si="0">F10+D11-E11</f>
        <v>0</v>
      </c>
      <c r="G11" s="68" t="s">
        <v>128</v>
      </c>
    </row>
    <row r="12" spans="1:7" s="6" customFormat="1" x14ac:dyDescent="0.2">
      <c r="A12" s="56">
        <v>4</v>
      </c>
      <c r="B12" s="45">
        <v>45738</v>
      </c>
      <c r="C12" s="46" t="s">
        <v>97</v>
      </c>
      <c r="D12" s="47">
        <v>210</v>
      </c>
      <c r="E12" s="47"/>
      <c r="F12" s="47">
        <f t="shared" si="0"/>
        <v>210</v>
      </c>
      <c r="G12" s="68" t="s">
        <v>129</v>
      </c>
    </row>
    <row r="13" spans="1:7" s="6" customFormat="1" x14ac:dyDescent="0.2">
      <c r="A13" s="56">
        <v>5</v>
      </c>
      <c r="B13" s="45">
        <v>45738</v>
      </c>
      <c r="C13" s="46" t="s">
        <v>11</v>
      </c>
      <c r="D13" s="47"/>
      <c r="E13" s="47">
        <v>210</v>
      </c>
      <c r="F13" s="47">
        <f t="shared" si="0"/>
        <v>0</v>
      </c>
      <c r="G13" s="68" t="s">
        <v>129</v>
      </c>
    </row>
    <row r="14" spans="1:7" s="6" customFormat="1" x14ac:dyDescent="0.2">
      <c r="A14" s="56">
        <v>6</v>
      </c>
      <c r="B14" s="45">
        <v>45764</v>
      </c>
      <c r="C14" s="46" t="s">
        <v>97</v>
      </c>
      <c r="D14" s="47">
        <v>500</v>
      </c>
      <c r="E14" s="47"/>
      <c r="F14" s="47">
        <f t="shared" si="0"/>
        <v>500</v>
      </c>
      <c r="G14" s="68" t="s">
        <v>42</v>
      </c>
    </row>
    <row r="15" spans="1:7" s="6" customFormat="1" x14ac:dyDescent="0.2">
      <c r="A15" s="56">
        <v>7</v>
      </c>
      <c r="B15" s="45">
        <v>45764</v>
      </c>
      <c r="C15" s="46" t="s">
        <v>11</v>
      </c>
      <c r="D15" s="47"/>
      <c r="E15" s="47">
        <v>500</v>
      </c>
      <c r="F15" s="47">
        <f t="shared" si="0"/>
        <v>0</v>
      </c>
      <c r="G15" s="68" t="s">
        <v>42</v>
      </c>
    </row>
    <row r="16" spans="1:7" s="6" customFormat="1" x14ac:dyDescent="0.2">
      <c r="A16" s="56">
        <v>8</v>
      </c>
      <c r="B16" s="45">
        <v>45801</v>
      </c>
      <c r="C16" s="46" t="s">
        <v>97</v>
      </c>
      <c r="D16" s="47">
        <v>200</v>
      </c>
      <c r="E16" s="47"/>
      <c r="F16" s="47">
        <f t="shared" si="0"/>
        <v>200</v>
      </c>
      <c r="G16" s="68" t="s">
        <v>134</v>
      </c>
    </row>
    <row r="17" spans="1:7" s="6" customFormat="1" x14ac:dyDescent="0.2">
      <c r="A17" s="56">
        <v>9</v>
      </c>
      <c r="B17" s="45">
        <v>45801</v>
      </c>
      <c r="C17" s="46" t="s">
        <v>11</v>
      </c>
      <c r="D17" s="47"/>
      <c r="E17" s="47">
        <v>200</v>
      </c>
      <c r="F17" s="47">
        <f t="shared" si="0"/>
        <v>0</v>
      </c>
      <c r="G17" s="68" t="s">
        <v>134</v>
      </c>
    </row>
    <row r="18" spans="1:7" s="6" customFormat="1" x14ac:dyDescent="0.2">
      <c r="A18" s="56">
        <v>10</v>
      </c>
      <c r="B18" s="36">
        <v>45821</v>
      </c>
      <c r="C18" s="46" t="s">
        <v>97</v>
      </c>
      <c r="D18" s="47">
        <v>200</v>
      </c>
      <c r="E18" s="47"/>
      <c r="F18" s="47">
        <f t="shared" si="0"/>
        <v>200</v>
      </c>
      <c r="G18" s="68" t="s">
        <v>135</v>
      </c>
    </row>
    <row r="19" spans="1:7" s="6" customFormat="1" x14ac:dyDescent="0.2">
      <c r="A19" s="56">
        <v>11</v>
      </c>
      <c r="B19" s="36">
        <v>45821</v>
      </c>
      <c r="C19" s="46" t="s">
        <v>11</v>
      </c>
      <c r="D19" s="47"/>
      <c r="E19" s="47">
        <v>200</v>
      </c>
      <c r="F19" s="47">
        <f t="shared" si="0"/>
        <v>0</v>
      </c>
      <c r="G19" s="68" t="s">
        <v>135</v>
      </c>
    </row>
    <row r="20" spans="1:7" s="6" customFormat="1" x14ac:dyDescent="0.2">
      <c r="A20" s="56">
        <v>12</v>
      </c>
      <c r="B20" s="45">
        <v>45824</v>
      </c>
      <c r="C20" s="46" t="s">
        <v>97</v>
      </c>
      <c r="D20" s="47">
        <v>230</v>
      </c>
      <c r="E20" s="47"/>
      <c r="F20" s="47">
        <f t="shared" si="0"/>
        <v>230</v>
      </c>
      <c r="G20" s="68" t="s">
        <v>136</v>
      </c>
    </row>
    <row r="21" spans="1:7" s="6" customFormat="1" x14ac:dyDescent="0.2">
      <c r="A21" s="56">
        <v>13</v>
      </c>
      <c r="B21" s="45">
        <v>45824</v>
      </c>
      <c r="C21" s="46" t="s">
        <v>11</v>
      </c>
      <c r="D21" s="47"/>
      <c r="E21" s="47">
        <v>230</v>
      </c>
      <c r="F21" s="47">
        <f t="shared" si="0"/>
        <v>0</v>
      </c>
      <c r="G21" s="68" t="s">
        <v>136</v>
      </c>
    </row>
    <row r="22" spans="1:7" s="6" customFormat="1" x14ac:dyDescent="0.2">
      <c r="A22" s="56">
        <v>14</v>
      </c>
      <c r="B22" s="45">
        <v>45852</v>
      </c>
      <c r="C22" s="46" t="s">
        <v>137</v>
      </c>
      <c r="D22" s="47">
        <v>1000</v>
      </c>
      <c r="E22" s="47"/>
      <c r="F22" s="47">
        <f t="shared" si="0"/>
        <v>1000</v>
      </c>
      <c r="G22" s="68" t="s">
        <v>42</v>
      </c>
    </row>
    <row r="23" spans="1:7" s="6" customFormat="1" x14ac:dyDescent="0.2">
      <c r="A23" s="56">
        <v>15</v>
      </c>
      <c r="B23" s="45">
        <v>45852</v>
      </c>
      <c r="C23" s="46" t="s">
        <v>11</v>
      </c>
      <c r="D23" s="47"/>
      <c r="E23" s="47">
        <v>1000</v>
      </c>
      <c r="F23" s="47">
        <f t="shared" si="0"/>
        <v>0</v>
      </c>
      <c r="G23" s="68" t="s">
        <v>42</v>
      </c>
    </row>
    <row r="24" spans="1:7" s="6" customFormat="1" x14ac:dyDescent="0.2">
      <c r="A24" s="56">
        <v>16</v>
      </c>
      <c r="B24" s="36">
        <v>45871</v>
      </c>
      <c r="C24" s="46" t="s">
        <v>97</v>
      </c>
      <c r="D24" s="47">
        <v>500</v>
      </c>
      <c r="E24" s="47"/>
      <c r="F24" s="47">
        <f t="shared" si="0"/>
        <v>500</v>
      </c>
      <c r="G24" s="57" t="s">
        <v>42</v>
      </c>
    </row>
    <row r="25" spans="1:7" x14ac:dyDescent="0.2">
      <c r="A25" s="56">
        <v>17</v>
      </c>
      <c r="B25" s="36">
        <v>45871</v>
      </c>
      <c r="C25" s="46" t="s">
        <v>11</v>
      </c>
      <c r="D25" s="47"/>
      <c r="E25" s="47">
        <v>500</v>
      </c>
      <c r="F25" s="47">
        <f t="shared" si="0"/>
        <v>0</v>
      </c>
      <c r="G25" s="57" t="s">
        <v>42</v>
      </c>
    </row>
    <row r="26" spans="1:7" x14ac:dyDescent="0.2">
      <c r="A26" s="56">
        <v>18</v>
      </c>
      <c r="B26" s="36">
        <v>45903</v>
      </c>
      <c r="C26" s="46" t="s">
        <v>97</v>
      </c>
      <c r="D26" s="47">
        <v>500</v>
      </c>
      <c r="E26" s="47"/>
      <c r="F26" s="47">
        <f t="shared" si="0"/>
        <v>500</v>
      </c>
      <c r="G26" s="11" t="s">
        <v>141</v>
      </c>
    </row>
    <row r="27" spans="1:7" x14ac:dyDescent="0.2">
      <c r="A27" s="56">
        <v>19</v>
      </c>
      <c r="B27" s="36">
        <v>45903</v>
      </c>
      <c r="C27" s="46" t="s">
        <v>11</v>
      </c>
      <c r="D27" s="47"/>
      <c r="E27" s="47">
        <v>500</v>
      </c>
      <c r="F27" s="47">
        <f t="shared" si="0"/>
        <v>0</v>
      </c>
      <c r="G27" s="11" t="s">
        <v>141</v>
      </c>
    </row>
    <row r="28" spans="1:7" x14ac:dyDescent="0.2">
      <c r="A28" s="56">
        <v>20</v>
      </c>
      <c r="B28" s="36">
        <v>45903</v>
      </c>
      <c r="C28" s="46" t="s">
        <v>97</v>
      </c>
      <c r="D28" s="47">
        <v>200</v>
      </c>
      <c r="E28" s="47"/>
      <c r="F28" s="47">
        <f t="shared" si="0"/>
        <v>200</v>
      </c>
      <c r="G28" s="68" t="s">
        <v>142</v>
      </c>
    </row>
    <row r="29" spans="1:7" x14ac:dyDescent="0.2">
      <c r="A29" s="56">
        <v>21</v>
      </c>
      <c r="B29" s="36">
        <v>45903</v>
      </c>
      <c r="C29" s="46" t="s">
        <v>11</v>
      </c>
      <c r="D29" s="47"/>
      <c r="E29" s="47">
        <v>200</v>
      </c>
      <c r="F29" s="47">
        <f t="shared" si="0"/>
        <v>0</v>
      </c>
      <c r="G29" s="68" t="s">
        <v>142</v>
      </c>
    </row>
    <row r="30" spans="1:7" x14ac:dyDescent="0.2">
      <c r="A30" s="56">
        <v>22</v>
      </c>
      <c r="B30" s="36">
        <v>45944</v>
      </c>
      <c r="C30" s="46" t="s">
        <v>97</v>
      </c>
      <c r="D30" s="47">
        <v>400</v>
      </c>
      <c r="E30" s="47"/>
      <c r="F30" s="47">
        <f t="shared" si="0"/>
        <v>400</v>
      </c>
      <c r="G30" s="11" t="s">
        <v>143</v>
      </c>
    </row>
    <row r="31" spans="1:7" x14ac:dyDescent="0.2">
      <c r="A31" s="56">
        <v>23</v>
      </c>
      <c r="B31" s="36">
        <v>45944</v>
      </c>
      <c r="C31" s="46" t="s">
        <v>11</v>
      </c>
      <c r="D31" s="47"/>
      <c r="E31" s="47">
        <v>400</v>
      </c>
      <c r="F31" s="47">
        <f t="shared" ref="F31:F34" si="1">F30+D31-E31</f>
        <v>0</v>
      </c>
      <c r="G31" s="11" t="s">
        <v>143</v>
      </c>
    </row>
    <row r="32" spans="1:7" x14ac:dyDescent="0.2">
      <c r="A32" s="56">
        <v>24</v>
      </c>
      <c r="B32" s="36">
        <v>45946</v>
      </c>
      <c r="C32" s="46" t="s">
        <v>97</v>
      </c>
      <c r="D32" s="47">
        <v>200</v>
      </c>
      <c r="E32" s="47"/>
      <c r="F32" s="47">
        <f t="shared" si="1"/>
        <v>200</v>
      </c>
      <c r="G32" s="11" t="s">
        <v>144</v>
      </c>
    </row>
    <row r="33" spans="1:7" x14ac:dyDescent="0.2">
      <c r="A33" s="56">
        <v>25</v>
      </c>
      <c r="B33" s="36">
        <v>45946</v>
      </c>
      <c r="C33" s="46" t="s">
        <v>11</v>
      </c>
      <c r="D33" s="47"/>
      <c r="E33" s="47">
        <v>200</v>
      </c>
      <c r="F33" s="47">
        <f t="shared" si="1"/>
        <v>0</v>
      </c>
      <c r="G33" s="11" t="s">
        <v>144</v>
      </c>
    </row>
    <row r="34" spans="1:7" x14ac:dyDescent="0.2">
      <c r="A34" s="56">
        <v>26</v>
      </c>
      <c r="B34" s="12">
        <v>45947</v>
      </c>
      <c r="C34" s="46" t="s">
        <v>97</v>
      </c>
      <c r="D34" s="47">
        <v>200</v>
      </c>
      <c r="E34" s="47"/>
      <c r="F34" s="47">
        <f t="shared" si="1"/>
        <v>200</v>
      </c>
      <c r="G34" s="11" t="s">
        <v>145</v>
      </c>
    </row>
    <row r="35" spans="1:7" x14ac:dyDescent="0.2">
      <c r="A35" s="56">
        <v>27</v>
      </c>
      <c r="B35" s="12">
        <v>45947</v>
      </c>
      <c r="C35" s="46" t="s">
        <v>11</v>
      </c>
      <c r="D35" s="47"/>
      <c r="E35" s="47">
        <v>200</v>
      </c>
      <c r="F35" s="47">
        <f t="shared" ref="F35:F36" si="2">F34+D35-E35</f>
        <v>0</v>
      </c>
      <c r="G35" s="11" t="s">
        <v>145</v>
      </c>
    </row>
    <row r="36" spans="1:7" x14ac:dyDescent="0.2">
      <c r="A36" s="56">
        <v>28</v>
      </c>
      <c r="B36" s="12">
        <v>45947</v>
      </c>
      <c r="C36" s="46" t="s">
        <v>97</v>
      </c>
      <c r="D36" s="47">
        <v>230</v>
      </c>
      <c r="E36" s="47"/>
      <c r="F36" s="47">
        <f t="shared" si="2"/>
        <v>230</v>
      </c>
      <c r="G36" s="11" t="s">
        <v>146</v>
      </c>
    </row>
    <row r="37" spans="1:7" x14ac:dyDescent="0.2">
      <c r="A37" s="56">
        <v>29</v>
      </c>
      <c r="B37" s="12">
        <v>45947</v>
      </c>
      <c r="C37" s="46" t="s">
        <v>11</v>
      </c>
      <c r="D37" s="47"/>
      <c r="E37" s="47">
        <v>230</v>
      </c>
      <c r="F37" s="47">
        <f t="shared" ref="F37:F69" si="3">F36+D37-E37</f>
        <v>0</v>
      </c>
      <c r="G37" s="11" t="s">
        <v>146</v>
      </c>
    </row>
    <row r="38" spans="1:7" x14ac:dyDescent="0.2">
      <c r="A38" s="56">
        <v>30</v>
      </c>
      <c r="B38" s="12">
        <v>45947</v>
      </c>
      <c r="C38" s="46" t="s">
        <v>97</v>
      </c>
      <c r="D38" s="47">
        <v>210</v>
      </c>
      <c r="E38" s="47"/>
      <c r="F38" s="47">
        <f t="shared" si="3"/>
        <v>210</v>
      </c>
      <c r="G38" s="11" t="s">
        <v>147</v>
      </c>
    </row>
    <row r="39" spans="1:7" x14ac:dyDescent="0.2">
      <c r="A39" s="56">
        <v>31</v>
      </c>
      <c r="B39" s="12">
        <v>45947</v>
      </c>
      <c r="C39" s="46" t="s">
        <v>11</v>
      </c>
      <c r="D39" s="47"/>
      <c r="E39" s="47">
        <v>210</v>
      </c>
      <c r="F39" s="47">
        <f t="shared" si="3"/>
        <v>0</v>
      </c>
      <c r="G39" s="11" t="s">
        <v>147</v>
      </c>
    </row>
    <row r="40" spans="1:7" x14ac:dyDescent="0.2">
      <c r="A40" s="56">
        <v>32</v>
      </c>
      <c r="B40" s="12">
        <v>45947</v>
      </c>
      <c r="C40" s="46" t="s">
        <v>97</v>
      </c>
      <c r="D40" s="47">
        <v>200</v>
      </c>
      <c r="E40" s="47"/>
      <c r="F40" s="47">
        <f t="shared" si="3"/>
        <v>200</v>
      </c>
      <c r="G40" s="68" t="s">
        <v>148</v>
      </c>
    </row>
    <row r="41" spans="1:7" x14ac:dyDescent="0.2">
      <c r="A41" s="56">
        <v>33</v>
      </c>
      <c r="B41" s="12">
        <v>45947</v>
      </c>
      <c r="C41" s="46" t="s">
        <v>11</v>
      </c>
      <c r="D41" s="47"/>
      <c r="E41" s="47">
        <v>200</v>
      </c>
      <c r="F41" s="47">
        <f t="shared" si="3"/>
        <v>0</v>
      </c>
      <c r="G41" s="68" t="s">
        <v>148</v>
      </c>
    </row>
    <row r="42" spans="1:7" x14ac:dyDescent="0.2">
      <c r="A42" s="56">
        <v>34</v>
      </c>
      <c r="B42" s="12">
        <v>45947</v>
      </c>
      <c r="C42" s="46" t="s">
        <v>97</v>
      </c>
      <c r="D42" s="50">
        <v>220</v>
      </c>
      <c r="E42" s="50"/>
      <c r="F42" s="47">
        <f t="shared" si="3"/>
        <v>220</v>
      </c>
      <c r="G42" s="68" t="s">
        <v>149</v>
      </c>
    </row>
    <row r="43" spans="1:7" x14ac:dyDescent="0.2">
      <c r="A43" s="56">
        <v>35</v>
      </c>
      <c r="B43" s="12">
        <v>45947</v>
      </c>
      <c r="C43" s="46" t="s">
        <v>11</v>
      </c>
      <c r="D43" s="50"/>
      <c r="E43" s="50">
        <v>220</v>
      </c>
      <c r="F43" s="47">
        <f t="shared" si="3"/>
        <v>0</v>
      </c>
      <c r="G43" s="68" t="s">
        <v>149</v>
      </c>
    </row>
    <row r="44" spans="1:7" x14ac:dyDescent="0.2">
      <c r="A44" s="56">
        <v>36</v>
      </c>
      <c r="B44" s="12">
        <v>45947</v>
      </c>
      <c r="C44" s="46" t="s">
        <v>97</v>
      </c>
      <c r="D44" s="47">
        <v>200</v>
      </c>
      <c r="E44" s="47"/>
      <c r="F44" s="47">
        <f t="shared" si="3"/>
        <v>200</v>
      </c>
      <c r="G44" s="68" t="s">
        <v>150</v>
      </c>
    </row>
    <row r="45" spans="1:7" x14ac:dyDescent="0.2">
      <c r="A45" s="56">
        <v>37</v>
      </c>
      <c r="B45" s="12">
        <v>45947</v>
      </c>
      <c r="C45" s="46" t="s">
        <v>11</v>
      </c>
      <c r="D45" s="47"/>
      <c r="E45" s="47">
        <v>200</v>
      </c>
      <c r="F45" s="47">
        <f t="shared" si="3"/>
        <v>0</v>
      </c>
      <c r="G45" s="68" t="s">
        <v>150</v>
      </c>
    </row>
    <row r="46" spans="1:7" x14ac:dyDescent="0.2">
      <c r="A46" s="56">
        <v>38</v>
      </c>
      <c r="B46" s="43">
        <v>46000</v>
      </c>
      <c r="C46" s="48" t="s">
        <v>97</v>
      </c>
      <c r="D46" s="50">
        <v>550</v>
      </c>
      <c r="E46" s="50"/>
      <c r="F46" s="47">
        <f t="shared" si="3"/>
        <v>550</v>
      </c>
      <c r="G46" s="68" t="s">
        <v>94</v>
      </c>
    </row>
    <row r="47" spans="1:7" x14ac:dyDescent="0.2">
      <c r="A47" s="56">
        <v>39</v>
      </c>
      <c r="B47" s="43">
        <v>46000</v>
      </c>
      <c r="C47" s="48" t="s">
        <v>11</v>
      </c>
      <c r="D47" s="50"/>
      <c r="E47" s="50">
        <v>550</v>
      </c>
      <c r="F47" s="47">
        <f t="shared" si="3"/>
        <v>0</v>
      </c>
      <c r="G47" s="68" t="s">
        <v>94</v>
      </c>
    </row>
    <row r="48" spans="1:7" x14ac:dyDescent="0.2">
      <c r="A48" s="56">
        <v>40</v>
      </c>
      <c r="B48" s="43">
        <v>46000</v>
      </c>
      <c r="C48" s="48" t="s">
        <v>97</v>
      </c>
      <c r="D48" s="47">
        <v>400</v>
      </c>
      <c r="E48" s="47"/>
      <c r="F48" s="47">
        <f t="shared" si="3"/>
        <v>400</v>
      </c>
      <c r="G48" s="57" t="s">
        <v>42</v>
      </c>
    </row>
    <row r="49" spans="1:7" x14ac:dyDescent="0.2">
      <c r="A49" s="56">
        <v>41</v>
      </c>
      <c r="B49" s="43">
        <v>46000</v>
      </c>
      <c r="C49" s="48" t="s">
        <v>11</v>
      </c>
      <c r="D49" s="47"/>
      <c r="E49" s="47">
        <v>400</v>
      </c>
      <c r="F49" s="47">
        <f t="shared" si="3"/>
        <v>0</v>
      </c>
      <c r="G49" s="57" t="s">
        <v>42</v>
      </c>
    </row>
    <row r="50" spans="1:7" x14ac:dyDescent="0.2">
      <c r="A50" s="56">
        <v>42</v>
      </c>
      <c r="B50" s="43">
        <v>46006</v>
      </c>
      <c r="C50" s="48" t="s">
        <v>97</v>
      </c>
      <c r="D50" s="47">
        <v>135</v>
      </c>
      <c r="E50" s="47"/>
      <c r="F50" s="47">
        <f t="shared" si="3"/>
        <v>135</v>
      </c>
      <c r="G50" s="57" t="s">
        <v>153</v>
      </c>
    </row>
    <row r="51" spans="1:7" x14ac:dyDescent="0.2">
      <c r="A51" s="56">
        <v>43</v>
      </c>
      <c r="B51" s="43">
        <v>46006</v>
      </c>
      <c r="C51" s="48" t="s">
        <v>11</v>
      </c>
      <c r="D51" s="47"/>
      <c r="E51" s="47">
        <v>135</v>
      </c>
      <c r="F51" s="47">
        <f t="shared" si="3"/>
        <v>0</v>
      </c>
      <c r="G51" s="57" t="s">
        <v>153</v>
      </c>
    </row>
    <row r="52" spans="1:7" x14ac:dyDescent="0.2">
      <c r="A52" s="56">
        <v>44</v>
      </c>
      <c r="B52" s="43">
        <v>46006</v>
      </c>
      <c r="C52" s="48" t="s">
        <v>97</v>
      </c>
      <c r="D52" s="47">
        <v>125</v>
      </c>
      <c r="E52" s="47"/>
      <c r="F52" s="47">
        <f t="shared" si="3"/>
        <v>125</v>
      </c>
      <c r="G52" s="68" t="s">
        <v>154</v>
      </c>
    </row>
    <row r="53" spans="1:7" x14ac:dyDescent="0.2">
      <c r="A53" s="56">
        <v>45</v>
      </c>
      <c r="B53" s="43">
        <v>46006</v>
      </c>
      <c r="C53" s="48" t="s">
        <v>11</v>
      </c>
      <c r="D53" s="47"/>
      <c r="E53" s="47">
        <v>125</v>
      </c>
      <c r="F53" s="47">
        <f t="shared" si="3"/>
        <v>0</v>
      </c>
      <c r="G53" s="68" t="s">
        <v>154</v>
      </c>
    </row>
    <row r="54" spans="1:7" x14ac:dyDescent="0.2">
      <c r="A54" s="56">
        <v>46</v>
      </c>
      <c r="B54" s="43">
        <v>46006</v>
      </c>
      <c r="C54" s="48" t="s">
        <v>97</v>
      </c>
      <c r="D54" s="47">
        <v>200</v>
      </c>
      <c r="E54" s="47"/>
      <c r="F54" s="47">
        <f t="shared" si="3"/>
        <v>200</v>
      </c>
      <c r="G54" s="57" t="s">
        <v>155</v>
      </c>
    </row>
    <row r="55" spans="1:7" x14ac:dyDescent="0.2">
      <c r="A55" s="56">
        <v>47</v>
      </c>
      <c r="B55" s="43">
        <v>46006</v>
      </c>
      <c r="C55" s="48" t="s">
        <v>11</v>
      </c>
      <c r="D55" s="47"/>
      <c r="E55" s="47">
        <v>200</v>
      </c>
      <c r="F55" s="47">
        <f t="shared" si="3"/>
        <v>0</v>
      </c>
      <c r="G55" s="57" t="s">
        <v>155</v>
      </c>
    </row>
    <row r="56" spans="1:7" x14ac:dyDescent="0.2">
      <c r="A56" s="56">
        <v>48</v>
      </c>
      <c r="B56" s="43">
        <v>46008</v>
      </c>
      <c r="C56" s="48" t="s">
        <v>97</v>
      </c>
      <c r="D56" s="47">
        <v>300</v>
      </c>
      <c r="E56" s="47"/>
      <c r="F56" s="47">
        <f t="shared" si="3"/>
        <v>300</v>
      </c>
      <c r="G56" s="74" t="s">
        <v>158</v>
      </c>
    </row>
    <row r="57" spans="1:7" x14ac:dyDescent="0.2">
      <c r="A57" s="56">
        <v>49</v>
      </c>
      <c r="B57" s="43">
        <v>46008</v>
      </c>
      <c r="C57" s="48" t="s">
        <v>11</v>
      </c>
      <c r="D57" s="47"/>
      <c r="E57" s="47">
        <v>300</v>
      </c>
      <c r="F57" s="47">
        <f t="shared" si="3"/>
        <v>0</v>
      </c>
      <c r="G57" s="74" t="s">
        <v>158</v>
      </c>
    </row>
    <row r="58" spans="1:7" x14ac:dyDescent="0.2">
      <c r="A58" s="56">
        <v>50</v>
      </c>
      <c r="B58" s="43">
        <v>46010</v>
      </c>
      <c r="C58" s="48" t="s">
        <v>97</v>
      </c>
      <c r="D58" s="47">
        <v>200</v>
      </c>
      <c r="E58" s="47"/>
      <c r="F58" s="47">
        <f t="shared" si="3"/>
        <v>200</v>
      </c>
      <c r="G58" s="69" t="s">
        <v>156</v>
      </c>
    </row>
    <row r="59" spans="1:7" x14ac:dyDescent="0.2">
      <c r="A59" s="56">
        <v>51</v>
      </c>
      <c r="B59" s="43">
        <v>46010</v>
      </c>
      <c r="C59" s="48" t="s">
        <v>11</v>
      </c>
      <c r="D59" s="47"/>
      <c r="E59" s="47">
        <v>200</v>
      </c>
      <c r="F59" s="47">
        <f t="shared" si="3"/>
        <v>0</v>
      </c>
      <c r="G59" s="69" t="s">
        <v>156</v>
      </c>
    </row>
    <row r="60" spans="1:7" x14ac:dyDescent="0.2">
      <c r="A60" s="56">
        <v>52</v>
      </c>
      <c r="B60" s="43">
        <v>46010</v>
      </c>
      <c r="C60" s="48" t="s">
        <v>97</v>
      </c>
      <c r="D60" s="47">
        <v>100</v>
      </c>
      <c r="E60" s="47"/>
      <c r="F60" s="47">
        <f t="shared" si="3"/>
        <v>100</v>
      </c>
      <c r="G60" s="69" t="s">
        <v>157</v>
      </c>
    </row>
    <row r="61" spans="1:7" x14ac:dyDescent="0.2">
      <c r="A61" s="56">
        <v>53</v>
      </c>
      <c r="B61" s="43">
        <v>46010</v>
      </c>
      <c r="C61" s="48" t="s">
        <v>11</v>
      </c>
      <c r="D61" s="47"/>
      <c r="E61" s="47">
        <v>100</v>
      </c>
      <c r="F61" s="47">
        <f t="shared" si="3"/>
        <v>0</v>
      </c>
      <c r="G61" s="69" t="s">
        <v>157</v>
      </c>
    </row>
    <row r="62" spans="1:7" x14ac:dyDescent="0.2">
      <c r="A62" s="56">
        <v>54</v>
      </c>
      <c r="B62" s="43">
        <v>46010</v>
      </c>
      <c r="C62" s="48" t="s">
        <v>97</v>
      </c>
      <c r="D62" s="47">
        <v>200</v>
      </c>
      <c r="E62" s="47"/>
      <c r="F62" s="47">
        <f t="shared" si="3"/>
        <v>200</v>
      </c>
      <c r="G62" s="69" t="s">
        <v>159</v>
      </c>
    </row>
    <row r="63" spans="1:7" x14ac:dyDescent="0.2">
      <c r="A63" s="56">
        <v>55</v>
      </c>
      <c r="B63" s="43">
        <v>46010</v>
      </c>
      <c r="C63" s="48" t="s">
        <v>11</v>
      </c>
      <c r="D63" s="47"/>
      <c r="E63" s="47">
        <v>200</v>
      </c>
      <c r="F63" s="47">
        <f t="shared" si="3"/>
        <v>0</v>
      </c>
      <c r="G63" s="69" t="s">
        <v>159</v>
      </c>
    </row>
    <row r="64" spans="1:7" x14ac:dyDescent="0.2">
      <c r="A64" s="56">
        <v>56</v>
      </c>
      <c r="B64" s="43">
        <v>46012</v>
      </c>
      <c r="C64" s="48" t="s">
        <v>97</v>
      </c>
      <c r="D64" s="47">
        <v>200</v>
      </c>
      <c r="E64" s="47"/>
      <c r="F64" s="47">
        <f t="shared" si="3"/>
        <v>200</v>
      </c>
      <c r="G64" s="87" t="s">
        <v>160</v>
      </c>
    </row>
    <row r="65" spans="1:7" x14ac:dyDescent="0.2">
      <c r="A65" s="56">
        <v>57</v>
      </c>
      <c r="B65" s="43">
        <v>46012</v>
      </c>
      <c r="C65" s="48" t="s">
        <v>11</v>
      </c>
      <c r="D65" s="47"/>
      <c r="E65" s="47">
        <v>200</v>
      </c>
      <c r="F65" s="47">
        <f t="shared" si="3"/>
        <v>0</v>
      </c>
      <c r="G65" s="87" t="s">
        <v>160</v>
      </c>
    </row>
    <row r="66" spans="1:7" x14ac:dyDescent="0.2">
      <c r="A66" s="56">
        <v>58</v>
      </c>
      <c r="B66" s="43">
        <v>46012</v>
      </c>
      <c r="C66" s="48" t="s">
        <v>97</v>
      </c>
      <c r="D66" s="47">
        <v>200</v>
      </c>
      <c r="E66" s="47"/>
      <c r="F66" s="47">
        <f t="shared" si="3"/>
        <v>200</v>
      </c>
      <c r="G66" s="87" t="s">
        <v>161</v>
      </c>
    </row>
    <row r="67" spans="1:7" x14ac:dyDescent="0.2">
      <c r="A67" s="56">
        <v>59</v>
      </c>
      <c r="B67" s="43">
        <v>46012</v>
      </c>
      <c r="C67" s="48" t="s">
        <v>11</v>
      </c>
      <c r="D67" s="47"/>
      <c r="E67" s="47">
        <v>200</v>
      </c>
      <c r="F67" s="47">
        <f t="shared" si="3"/>
        <v>0</v>
      </c>
      <c r="G67" s="87" t="s">
        <v>161</v>
      </c>
    </row>
    <row r="68" spans="1:7" x14ac:dyDescent="0.2">
      <c r="A68" s="56">
        <v>60</v>
      </c>
      <c r="B68" s="43">
        <v>46012</v>
      </c>
      <c r="C68" s="48" t="s">
        <v>97</v>
      </c>
      <c r="D68" s="47">
        <v>200</v>
      </c>
      <c r="E68" s="47"/>
      <c r="F68" s="47">
        <f t="shared" si="3"/>
        <v>200</v>
      </c>
      <c r="G68" s="87" t="s">
        <v>162</v>
      </c>
    </row>
    <row r="69" spans="1:7" x14ac:dyDescent="0.2">
      <c r="A69" s="56">
        <v>61</v>
      </c>
      <c r="B69" s="43">
        <v>46012</v>
      </c>
      <c r="C69" s="48" t="s">
        <v>11</v>
      </c>
      <c r="D69" s="47"/>
      <c r="E69" s="47">
        <v>200</v>
      </c>
      <c r="F69" s="47">
        <f t="shared" si="3"/>
        <v>0</v>
      </c>
      <c r="G69" s="87" t="s">
        <v>162</v>
      </c>
    </row>
    <row r="70" spans="1:7" x14ac:dyDescent="0.2">
      <c r="A70" s="58"/>
      <c r="B70" s="44"/>
      <c r="C70" s="59"/>
      <c r="D70" s="60"/>
      <c r="E70" s="60"/>
      <c r="F70" s="61"/>
      <c r="G70" s="58"/>
    </row>
    <row r="71" spans="1:7" x14ac:dyDescent="0.2">
      <c r="A71" s="62"/>
      <c r="B71" s="63"/>
      <c r="C71" s="62"/>
      <c r="D71" s="62"/>
      <c r="E71" s="62"/>
      <c r="F71" s="62"/>
      <c r="G71" s="62"/>
    </row>
    <row r="72" spans="1:7" s="1" customFormat="1" ht="15.75" x14ac:dyDescent="0.25">
      <c r="A72" s="64" t="s">
        <v>8</v>
      </c>
      <c r="B72" s="65"/>
      <c r="C72" s="64" t="s">
        <v>38</v>
      </c>
      <c r="D72" s="65"/>
      <c r="E72" s="65"/>
      <c r="F72" s="65"/>
      <c r="G72" s="65"/>
    </row>
    <row r="73" spans="1:7" s="1" customFormat="1" ht="15.75" x14ac:dyDescent="0.25">
      <c r="A73" s="64" t="s">
        <v>9</v>
      </c>
      <c r="B73" s="65"/>
      <c r="C73" s="64" t="s">
        <v>56</v>
      </c>
      <c r="D73" s="65"/>
      <c r="E73" s="65"/>
      <c r="F73" s="65"/>
      <c r="G73" s="65"/>
    </row>
    <row r="74" spans="1:7" x14ac:dyDescent="0.2">
      <c r="A74" s="62"/>
      <c r="B74" s="63"/>
      <c r="C74" s="62"/>
      <c r="D74" s="62"/>
      <c r="E74" s="62"/>
      <c r="F74" s="62"/>
      <c r="G74" s="62"/>
    </row>
    <row r="75" spans="1:7" s="6" customFormat="1" x14ac:dyDescent="0.2">
      <c r="A75" s="66" t="s">
        <v>0</v>
      </c>
      <c r="B75" s="67" t="s">
        <v>1</v>
      </c>
      <c r="C75" s="66" t="s">
        <v>3</v>
      </c>
      <c r="D75" s="66" t="s">
        <v>4</v>
      </c>
      <c r="E75" s="66" t="s">
        <v>5</v>
      </c>
      <c r="F75" s="66" t="s">
        <v>6</v>
      </c>
      <c r="G75" s="66" t="s">
        <v>2</v>
      </c>
    </row>
    <row r="76" spans="1:7" s="6" customFormat="1" x14ac:dyDescent="0.2">
      <c r="A76" s="56">
        <v>1</v>
      </c>
      <c r="B76" s="45">
        <v>45658</v>
      </c>
      <c r="C76" s="46" t="s">
        <v>7</v>
      </c>
      <c r="D76" s="47"/>
      <c r="E76" s="47"/>
      <c r="F76" s="47">
        <v>0</v>
      </c>
      <c r="G76" s="56"/>
    </row>
    <row r="77" spans="1:7" x14ac:dyDescent="0.2">
      <c r="A77" s="57">
        <v>2</v>
      </c>
      <c r="B77" s="45">
        <v>45738</v>
      </c>
      <c r="C77" s="46" t="s">
        <v>97</v>
      </c>
      <c r="D77" s="47">
        <v>4</v>
      </c>
      <c r="E77" s="47"/>
      <c r="F77" s="50">
        <f>F76+D77-E77</f>
        <v>4</v>
      </c>
      <c r="G77" s="68" t="s">
        <v>128</v>
      </c>
    </row>
    <row r="78" spans="1:7" x14ac:dyDescent="0.2">
      <c r="A78" s="57">
        <v>3</v>
      </c>
      <c r="B78" s="45">
        <v>45738</v>
      </c>
      <c r="C78" s="46" t="s">
        <v>11</v>
      </c>
      <c r="D78" s="47"/>
      <c r="E78" s="47">
        <v>4</v>
      </c>
      <c r="F78" s="50">
        <f t="shared" ref="F78:F138" si="4">F77+D78-E78</f>
        <v>0</v>
      </c>
      <c r="G78" s="68" t="s">
        <v>128</v>
      </c>
    </row>
    <row r="79" spans="1:7" x14ac:dyDescent="0.2">
      <c r="A79" s="57">
        <v>4</v>
      </c>
      <c r="B79" s="45">
        <v>45738</v>
      </c>
      <c r="C79" s="46" t="s">
        <v>97</v>
      </c>
      <c r="D79" s="47">
        <v>4</v>
      </c>
      <c r="E79" s="47"/>
      <c r="F79" s="50">
        <f t="shared" si="4"/>
        <v>4</v>
      </c>
      <c r="G79" s="68" t="s">
        <v>129</v>
      </c>
    </row>
    <row r="80" spans="1:7" x14ac:dyDescent="0.2">
      <c r="A80" s="57">
        <v>5</v>
      </c>
      <c r="B80" s="45">
        <v>45738</v>
      </c>
      <c r="C80" s="46" t="s">
        <v>11</v>
      </c>
      <c r="D80" s="50"/>
      <c r="E80" s="50">
        <v>4</v>
      </c>
      <c r="F80" s="50">
        <f t="shared" si="4"/>
        <v>0</v>
      </c>
      <c r="G80" s="68" t="s">
        <v>129</v>
      </c>
    </row>
    <row r="81" spans="1:7" x14ac:dyDescent="0.2">
      <c r="A81" s="57">
        <v>6</v>
      </c>
      <c r="B81" s="45">
        <v>45764</v>
      </c>
      <c r="C81" s="46" t="s">
        <v>97</v>
      </c>
      <c r="D81" s="50">
        <v>20</v>
      </c>
      <c r="E81" s="50"/>
      <c r="F81" s="50">
        <f t="shared" si="4"/>
        <v>20</v>
      </c>
      <c r="G81" s="57" t="s">
        <v>42</v>
      </c>
    </row>
    <row r="82" spans="1:7" x14ac:dyDescent="0.2">
      <c r="A82" s="57">
        <v>7</v>
      </c>
      <c r="B82" s="45">
        <v>45764</v>
      </c>
      <c r="C82" s="46" t="s">
        <v>11</v>
      </c>
      <c r="D82" s="50"/>
      <c r="E82" s="50">
        <v>20</v>
      </c>
      <c r="F82" s="50">
        <f t="shared" si="4"/>
        <v>0</v>
      </c>
      <c r="G82" s="57" t="s">
        <v>42</v>
      </c>
    </row>
    <row r="83" spans="1:7" x14ac:dyDescent="0.2">
      <c r="A83" s="57">
        <v>8</v>
      </c>
      <c r="B83" s="45">
        <v>45801</v>
      </c>
      <c r="C83" s="46" t="s">
        <v>97</v>
      </c>
      <c r="D83" s="47">
        <v>4</v>
      </c>
      <c r="E83" s="47"/>
      <c r="F83" s="50">
        <f t="shared" si="4"/>
        <v>4</v>
      </c>
      <c r="G83" s="68" t="s">
        <v>134</v>
      </c>
    </row>
    <row r="84" spans="1:7" x14ac:dyDescent="0.2">
      <c r="A84" s="57">
        <v>9</v>
      </c>
      <c r="B84" s="45">
        <v>45801</v>
      </c>
      <c r="C84" s="46" t="s">
        <v>11</v>
      </c>
      <c r="D84" s="50"/>
      <c r="E84" s="50">
        <v>4</v>
      </c>
      <c r="F84" s="50">
        <f t="shared" si="4"/>
        <v>0</v>
      </c>
      <c r="G84" s="68" t="s">
        <v>134</v>
      </c>
    </row>
    <row r="85" spans="1:7" x14ac:dyDescent="0.2">
      <c r="A85" s="57">
        <v>10</v>
      </c>
      <c r="B85" s="36">
        <v>45821</v>
      </c>
      <c r="C85" s="46" t="s">
        <v>97</v>
      </c>
      <c r="D85" s="50">
        <v>5</v>
      </c>
      <c r="E85" s="50"/>
      <c r="F85" s="50">
        <f t="shared" si="4"/>
        <v>5</v>
      </c>
      <c r="G85" s="68" t="s">
        <v>135</v>
      </c>
    </row>
    <row r="86" spans="1:7" x14ac:dyDescent="0.2">
      <c r="A86" s="57">
        <v>11</v>
      </c>
      <c r="B86" s="36">
        <v>45821</v>
      </c>
      <c r="C86" s="46" t="s">
        <v>11</v>
      </c>
      <c r="D86" s="50"/>
      <c r="E86" s="50">
        <v>5</v>
      </c>
      <c r="F86" s="50">
        <f t="shared" si="4"/>
        <v>0</v>
      </c>
      <c r="G86" s="68" t="s">
        <v>135</v>
      </c>
    </row>
    <row r="87" spans="1:7" x14ac:dyDescent="0.2">
      <c r="A87" s="57">
        <v>12</v>
      </c>
      <c r="B87" s="45">
        <v>45824</v>
      </c>
      <c r="C87" s="46" t="s">
        <v>97</v>
      </c>
      <c r="D87" s="47">
        <v>4</v>
      </c>
      <c r="E87" s="47"/>
      <c r="F87" s="50">
        <f t="shared" si="4"/>
        <v>4</v>
      </c>
      <c r="G87" s="68" t="s">
        <v>136</v>
      </c>
    </row>
    <row r="88" spans="1:7" x14ac:dyDescent="0.2">
      <c r="A88" s="57">
        <v>13</v>
      </c>
      <c r="B88" s="45">
        <v>45824</v>
      </c>
      <c r="C88" s="46" t="s">
        <v>11</v>
      </c>
      <c r="D88" s="50"/>
      <c r="E88" s="50">
        <v>4</v>
      </c>
      <c r="F88" s="50">
        <f t="shared" si="4"/>
        <v>0</v>
      </c>
      <c r="G88" s="68" t="s">
        <v>136</v>
      </c>
    </row>
    <row r="89" spans="1:7" x14ac:dyDescent="0.2">
      <c r="A89" s="57">
        <v>14</v>
      </c>
      <c r="B89" s="45">
        <v>45852</v>
      </c>
      <c r="C89" s="46" t="s">
        <v>137</v>
      </c>
      <c r="D89" s="47">
        <v>20</v>
      </c>
      <c r="E89" s="47"/>
      <c r="F89" s="50">
        <f t="shared" si="4"/>
        <v>20</v>
      </c>
      <c r="G89" s="68" t="s">
        <v>42</v>
      </c>
    </row>
    <row r="90" spans="1:7" x14ac:dyDescent="0.2">
      <c r="A90" s="57">
        <v>15</v>
      </c>
      <c r="B90" s="45">
        <v>45852</v>
      </c>
      <c r="C90" s="46" t="s">
        <v>11</v>
      </c>
      <c r="D90" s="47"/>
      <c r="E90" s="47">
        <v>20</v>
      </c>
      <c r="F90" s="50">
        <f t="shared" si="4"/>
        <v>0</v>
      </c>
      <c r="G90" s="68" t="s">
        <v>42</v>
      </c>
    </row>
    <row r="91" spans="1:7" x14ac:dyDescent="0.2">
      <c r="A91" s="57">
        <v>16</v>
      </c>
      <c r="B91" s="45">
        <v>45871</v>
      </c>
      <c r="C91" s="46" t="s">
        <v>97</v>
      </c>
      <c r="D91" s="47">
        <v>20</v>
      </c>
      <c r="E91" s="47"/>
      <c r="F91" s="50">
        <f t="shared" si="4"/>
        <v>20</v>
      </c>
      <c r="G91" s="57" t="s">
        <v>42</v>
      </c>
    </row>
    <row r="92" spans="1:7" x14ac:dyDescent="0.2">
      <c r="A92" s="57">
        <v>17</v>
      </c>
      <c r="B92" s="45">
        <v>45871</v>
      </c>
      <c r="C92" s="46" t="s">
        <v>11</v>
      </c>
      <c r="D92" s="47"/>
      <c r="E92" s="47">
        <v>20</v>
      </c>
      <c r="F92" s="50">
        <f t="shared" si="4"/>
        <v>0</v>
      </c>
      <c r="G92" s="57" t="s">
        <v>42</v>
      </c>
    </row>
    <row r="93" spans="1:7" x14ac:dyDescent="0.2">
      <c r="A93" s="57">
        <v>18</v>
      </c>
      <c r="B93" s="36">
        <v>45903</v>
      </c>
      <c r="C93" s="46" t="s">
        <v>97</v>
      </c>
      <c r="D93" s="50">
        <v>4</v>
      </c>
      <c r="E93" s="50"/>
      <c r="F93" s="50">
        <f t="shared" si="4"/>
        <v>4</v>
      </c>
      <c r="G93" s="11" t="s">
        <v>141</v>
      </c>
    </row>
    <row r="94" spans="1:7" x14ac:dyDescent="0.2">
      <c r="A94" s="57">
        <v>19</v>
      </c>
      <c r="B94" s="36">
        <v>45903</v>
      </c>
      <c r="C94" s="46" t="s">
        <v>11</v>
      </c>
      <c r="D94" s="50"/>
      <c r="E94" s="50">
        <v>4</v>
      </c>
      <c r="F94" s="50">
        <f t="shared" si="4"/>
        <v>0</v>
      </c>
      <c r="G94" s="11" t="s">
        <v>141</v>
      </c>
    </row>
    <row r="95" spans="1:7" x14ac:dyDescent="0.2">
      <c r="A95" s="57">
        <v>20</v>
      </c>
      <c r="B95" s="36">
        <v>45903</v>
      </c>
      <c r="C95" s="46" t="s">
        <v>97</v>
      </c>
      <c r="D95" s="50">
        <v>4</v>
      </c>
      <c r="E95" s="50"/>
      <c r="F95" s="50">
        <f t="shared" si="4"/>
        <v>4</v>
      </c>
      <c r="G95" s="68" t="s">
        <v>142</v>
      </c>
    </row>
    <row r="96" spans="1:7" x14ac:dyDescent="0.2">
      <c r="A96" s="57">
        <v>21</v>
      </c>
      <c r="B96" s="36">
        <v>45903</v>
      </c>
      <c r="C96" s="46" t="s">
        <v>11</v>
      </c>
      <c r="D96" s="50"/>
      <c r="E96" s="50">
        <v>4</v>
      </c>
      <c r="F96" s="50">
        <f t="shared" si="4"/>
        <v>0</v>
      </c>
      <c r="G96" s="68" t="s">
        <v>142</v>
      </c>
    </row>
    <row r="97" spans="1:7" x14ac:dyDescent="0.2">
      <c r="A97" s="57">
        <v>22</v>
      </c>
      <c r="B97" s="36">
        <v>45944</v>
      </c>
      <c r="C97" s="46" t="s">
        <v>97</v>
      </c>
      <c r="D97" s="50">
        <v>4</v>
      </c>
      <c r="E97" s="50"/>
      <c r="F97" s="50">
        <f t="shared" si="4"/>
        <v>4</v>
      </c>
      <c r="G97" s="11" t="s">
        <v>143</v>
      </c>
    </row>
    <row r="98" spans="1:7" x14ac:dyDescent="0.2">
      <c r="A98" s="57">
        <v>23</v>
      </c>
      <c r="B98" s="36">
        <v>45944</v>
      </c>
      <c r="C98" s="46" t="s">
        <v>11</v>
      </c>
      <c r="D98" s="50"/>
      <c r="E98" s="50">
        <v>4</v>
      </c>
      <c r="F98" s="50">
        <f t="shared" si="4"/>
        <v>0</v>
      </c>
      <c r="G98" s="11" t="s">
        <v>143</v>
      </c>
    </row>
    <row r="99" spans="1:7" x14ac:dyDescent="0.2">
      <c r="A99" s="57">
        <v>24</v>
      </c>
      <c r="B99" s="36">
        <v>45946</v>
      </c>
      <c r="C99" s="46" t="s">
        <v>97</v>
      </c>
      <c r="D99" s="50">
        <v>4</v>
      </c>
      <c r="E99" s="50"/>
      <c r="F99" s="50">
        <f t="shared" si="4"/>
        <v>4</v>
      </c>
      <c r="G99" s="11" t="s">
        <v>144</v>
      </c>
    </row>
    <row r="100" spans="1:7" x14ac:dyDescent="0.2">
      <c r="A100" s="57">
        <v>25</v>
      </c>
      <c r="B100" s="36">
        <v>45946</v>
      </c>
      <c r="C100" s="46" t="s">
        <v>11</v>
      </c>
      <c r="D100" s="50"/>
      <c r="E100" s="50">
        <v>4</v>
      </c>
      <c r="F100" s="50">
        <f t="shared" si="4"/>
        <v>0</v>
      </c>
      <c r="G100" s="11" t="s">
        <v>144</v>
      </c>
    </row>
    <row r="101" spans="1:7" x14ac:dyDescent="0.2">
      <c r="A101" s="57">
        <v>26</v>
      </c>
      <c r="B101" s="12">
        <v>45947</v>
      </c>
      <c r="C101" s="46" t="s">
        <v>97</v>
      </c>
      <c r="D101" s="50">
        <v>4</v>
      </c>
      <c r="E101" s="50"/>
      <c r="F101" s="50">
        <f t="shared" si="4"/>
        <v>4</v>
      </c>
      <c r="G101" s="11" t="s">
        <v>145</v>
      </c>
    </row>
    <row r="102" spans="1:7" x14ac:dyDescent="0.2">
      <c r="A102" s="57">
        <v>27</v>
      </c>
      <c r="B102" s="12">
        <v>45947</v>
      </c>
      <c r="C102" s="46" t="s">
        <v>11</v>
      </c>
      <c r="D102" s="50"/>
      <c r="E102" s="50">
        <v>4</v>
      </c>
      <c r="F102" s="50">
        <f t="shared" si="4"/>
        <v>0</v>
      </c>
      <c r="G102" s="11" t="s">
        <v>145</v>
      </c>
    </row>
    <row r="103" spans="1:7" x14ac:dyDescent="0.2">
      <c r="A103" s="57">
        <v>28</v>
      </c>
      <c r="B103" s="12">
        <v>45947</v>
      </c>
      <c r="C103" s="46" t="s">
        <v>97</v>
      </c>
      <c r="D103" s="50">
        <v>5</v>
      </c>
      <c r="E103" s="50"/>
      <c r="F103" s="50">
        <f t="shared" si="4"/>
        <v>5</v>
      </c>
      <c r="G103" s="11" t="s">
        <v>146</v>
      </c>
    </row>
    <row r="104" spans="1:7" x14ac:dyDescent="0.2">
      <c r="A104" s="57">
        <v>29</v>
      </c>
      <c r="B104" s="12">
        <v>45947</v>
      </c>
      <c r="C104" s="46" t="s">
        <v>11</v>
      </c>
      <c r="D104" s="50"/>
      <c r="E104" s="50">
        <v>5</v>
      </c>
      <c r="F104" s="50">
        <f t="shared" si="4"/>
        <v>0</v>
      </c>
      <c r="G104" s="11" t="s">
        <v>146</v>
      </c>
    </row>
    <row r="105" spans="1:7" x14ac:dyDescent="0.2">
      <c r="A105" s="57">
        <v>30</v>
      </c>
      <c r="B105" s="12">
        <v>45947</v>
      </c>
      <c r="C105" s="46" t="s">
        <v>97</v>
      </c>
      <c r="D105" s="50">
        <v>4</v>
      </c>
      <c r="E105" s="50"/>
      <c r="F105" s="50">
        <f t="shared" si="4"/>
        <v>4</v>
      </c>
      <c r="G105" s="11" t="s">
        <v>147</v>
      </c>
    </row>
    <row r="106" spans="1:7" x14ac:dyDescent="0.2">
      <c r="A106" s="57">
        <v>31</v>
      </c>
      <c r="B106" s="12">
        <v>45947</v>
      </c>
      <c r="C106" s="46" t="s">
        <v>11</v>
      </c>
      <c r="D106" s="50"/>
      <c r="E106" s="50">
        <v>4</v>
      </c>
      <c r="F106" s="50">
        <f t="shared" si="4"/>
        <v>0</v>
      </c>
      <c r="G106" s="11" t="s">
        <v>147</v>
      </c>
    </row>
    <row r="107" spans="1:7" x14ac:dyDescent="0.2">
      <c r="A107" s="57">
        <v>32</v>
      </c>
      <c r="B107" s="12">
        <v>45947</v>
      </c>
      <c r="C107" s="46" t="s">
        <v>97</v>
      </c>
      <c r="D107" s="50">
        <v>4</v>
      </c>
      <c r="E107" s="50"/>
      <c r="F107" s="50">
        <f t="shared" si="4"/>
        <v>4</v>
      </c>
      <c r="G107" s="68" t="s">
        <v>148</v>
      </c>
    </row>
    <row r="108" spans="1:7" x14ac:dyDescent="0.2">
      <c r="A108" s="57">
        <v>33</v>
      </c>
      <c r="B108" s="12">
        <v>45947</v>
      </c>
      <c r="C108" s="46" t="s">
        <v>11</v>
      </c>
      <c r="D108" s="50"/>
      <c r="E108" s="50">
        <v>4</v>
      </c>
      <c r="F108" s="50">
        <f t="shared" si="4"/>
        <v>0</v>
      </c>
      <c r="G108" s="68" t="s">
        <v>148</v>
      </c>
    </row>
    <row r="109" spans="1:7" x14ac:dyDescent="0.2">
      <c r="A109" s="57">
        <v>34</v>
      </c>
      <c r="B109" s="12">
        <v>45947</v>
      </c>
      <c r="C109" s="46" t="s">
        <v>97</v>
      </c>
      <c r="D109" s="50">
        <v>4</v>
      </c>
      <c r="E109" s="50"/>
      <c r="F109" s="50">
        <f t="shared" si="4"/>
        <v>4</v>
      </c>
      <c r="G109" s="68" t="s">
        <v>149</v>
      </c>
    </row>
    <row r="110" spans="1:7" x14ac:dyDescent="0.2">
      <c r="A110" s="57">
        <v>35</v>
      </c>
      <c r="B110" s="12">
        <v>45947</v>
      </c>
      <c r="C110" s="46" t="s">
        <v>11</v>
      </c>
      <c r="D110" s="50"/>
      <c r="E110" s="50">
        <v>4</v>
      </c>
      <c r="F110" s="50">
        <f t="shared" si="4"/>
        <v>0</v>
      </c>
      <c r="G110" s="68" t="s">
        <v>149</v>
      </c>
    </row>
    <row r="111" spans="1:7" x14ac:dyDescent="0.2">
      <c r="A111" s="57">
        <v>36</v>
      </c>
      <c r="B111" s="12">
        <v>45947</v>
      </c>
      <c r="C111" s="46" t="s">
        <v>97</v>
      </c>
      <c r="D111" s="50">
        <v>4</v>
      </c>
      <c r="E111" s="50"/>
      <c r="F111" s="50">
        <f t="shared" si="4"/>
        <v>4</v>
      </c>
      <c r="G111" s="68" t="s">
        <v>150</v>
      </c>
    </row>
    <row r="112" spans="1:7" x14ac:dyDescent="0.2">
      <c r="A112" s="57">
        <v>37</v>
      </c>
      <c r="B112" s="12">
        <v>45947</v>
      </c>
      <c r="C112" s="46" t="s">
        <v>11</v>
      </c>
      <c r="D112" s="50"/>
      <c r="E112" s="50">
        <v>4</v>
      </c>
      <c r="F112" s="50">
        <f t="shared" si="4"/>
        <v>0</v>
      </c>
      <c r="G112" s="68" t="s">
        <v>150</v>
      </c>
    </row>
    <row r="113" spans="1:7" x14ac:dyDescent="0.2">
      <c r="A113" s="57">
        <v>38</v>
      </c>
      <c r="B113" s="43">
        <v>46000</v>
      </c>
      <c r="C113" s="48" t="s">
        <v>97</v>
      </c>
      <c r="D113" s="50">
        <v>4</v>
      </c>
      <c r="E113" s="50"/>
      <c r="F113" s="50">
        <f t="shared" si="4"/>
        <v>4</v>
      </c>
      <c r="G113" s="68" t="s">
        <v>94</v>
      </c>
    </row>
    <row r="114" spans="1:7" x14ac:dyDescent="0.2">
      <c r="A114" s="57">
        <v>39</v>
      </c>
      <c r="B114" s="43">
        <v>46000</v>
      </c>
      <c r="C114" s="48" t="s">
        <v>11</v>
      </c>
      <c r="D114" s="50"/>
      <c r="E114" s="50">
        <v>4</v>
      </c>
      <c r="F114" s="50">
        <f t="shared" si="4"/>
        <v>0</v>
      </c>
      <c r="G114" s="68" t="s">
        <v>94</v>
      </c>
    </row>
    <row r="115" spans="1:7" x14ac:dyDescent="0.2">
      <c r="A115" s="57">
        <v>40</v>
      </c>
      <c r="B115" s="43">
        <v>46000</v>
      </c>
      <c r="C115" s="48" t="s">
        <v>97</v>
      </c>
      <c r="D115" s="50">
        <v>30</v>
      </c>
      <c r="E115" s="50"/>
      <c r="F115" s="50">
        <f t="shared" si="4"/>
        <v>30</v>
      </c>
      <c r="G115" s="68" t="s">
        <v>42</v>
      </c>
    </row>
    <row r="116" spans="1:7" x14ac:dyDescent="0.2">
      <c r="A116" s="57">
        <v>41</v>
      </c>
      <c r="B116" s="43">
        <v>46000</v>
      </c>
      <c r="C116" s="48" t="s">
        <v>11</v>
      </c>
      <c r="D116" s="50"/>
      <c r="E116" s="50">
        <v>30</v>
      </c>
      <c r="F116" s="50">
        <f t="shared" si="4"/>
        <v>0</v>
      </c>
      <c r="G116" s="68" t="s">
        <v>42</v>
      </c>
    </row>
    <row r="117" spans="1:7" x14ac:dyDescent="0.2">
      <c r="A117" s="57">
        <v>42</v>
      </c>
      <c r="B117" s="43">
        <v>46006</v>
      </c>
      <c r="C117" s="48" t="s">
        <v>97</v>
      </c>
      <c r="D117" s="50">
        <v>4</v>
      </c>
      <c r="E117" s="50"/>
      <c r="F117" s="50">
        <f t="shared" si="4"/>
        <v>4</v>
      </c>
      <c r="G117" s="57" t="s">
        <v>153</v>
      </c>
    </row>
    <row r="118" spans="1:7" x14ac:dyDescent="0.2">
      <c r="A118" s="57">
        <v>43</v>
      </c>
      <c r="B118" s="43">
        <v>46006</v>
      </c>
      <c r="C118" s="48" t="s">
        <v>11</v>
      </c>
      <c r="D118" s="50"/>
      <c r="E118" s="50">
        <v>4</v>
      </c>
      <c r="F118" s="50">
        <f t="shared" si="4"/>
        <v>0</v>
      </c>
      <c r="G118" s="57" t="s">
        <v>153</v>
      </c>
    </row>
    <row r="119" spans="1:7" x14ac:dyDescent="0.2">
      <c r="A119" s="57">
        <v>44</v>
      </c>
      <c r="B119" s="43">
        <v>46006</v>
      </c>
      <c r="C119" s="48" t="s">
        <v>97</v>
      </c>
      <c r="D119" s="50">
        <v>4</v>
      </c>
      <c r="E119" s="50"/>
      <c r="F119" s="50">
        <f t="shared" si="4"/>
        <v>4</v>
      </c>
      <c r="G119" s="68" t="s">
        <v>154</v>
      </c>
    </row>
    <row r="120" spans="1:7" x14ac:dyDescent="0.2">
      <c r="A120" s="57">
        <v>45</v>
      </c>
      <c r="B120" s="43">
        <v>46006</v>
      </c>
      <c r="C120" s="48" t="s">
        <v>11</v>
      </c>
      <c r="D120" s="50"/>
      <c r="E120" s="50">
        <v>4</v>
      </c>
      <c r="F120" s="50">
        <f t="shared" si="4"/>
        <v>0</v>
      </c>
      <c r="G120" s="68" t="s">
        <v>154</v>
      </c>
    </row>
    <row r="121" spans="1:7" x14ac:dyDescent="0.2">
      <c r="A121" s="57">
        <v>46</v>
      </c>
      <c r="B121" s="43">
        <v>46006</v>
      </c>
      <c r="C121" s="48" t="s">
        <v>97</v>
      </c>
      <c r="D121" s="50">
        <v>4</v>
      </c>
      <c r="E121" s="50"/>
      <c r="F121" s="50">
        <f t="shared" si="4"/>
        <v>4</v>
      </c>
      <c r="G121" s="57" t="s">
        <v>155</v>
      </c>
    </row>
    <row r="122" spans="1:7" x14ac:dyDescent="0.2">
      <c r="A122" s="57">
        <v>47</v>
      </c>
      <c r="B122" s="43">
        <v>46006</v>
      </c>
      <c r="C122" s="48" t="s">
        <v>11</v>
      </c>
      <c r="D122" s="50"/>
      <c r="E122" s="50">
        <v>4</v>
      </c>
      <c r="F122" s="50">
        <f t="shared" si="4"/>
        <v>0</v>
      </c>
      <c r="G122" s="57" t="s">
        <v>155</v>
      </c>
    </row>
    <row r="123" spans="1:7" x14ac:dyDescent="0.2">
      <c r="A123" s="57">
        <v>48</v>
      </c>
      <c r="B123" s="43">
        <v>46008</v>
      </c>
      <c r="C123" s="48" t="s">
        <v>97</v>
      </c>
      <c r="D123" s="50">
        <v>40</v>
      </c>
      <c r="E123" s="50"/>
      <c r="F123" s="50">
        <f t="shared" si="4"/>
        <v>40</v>
      </c>
      <c r="G123" s="57" t="s">
        <v>42</v>
      </c>
    </row>
    <row r="124" spans="1:7" x14ac:dyDescent="0.2">
      <c r="A124" s="57">
        <v>49</v>
      </c>
      <c r="B124" s="43">
        <v>46008</v>
      </c>
      <c r="C124" s="48" t="s">
        <v>11</v>
      </c>
      <c r="D124" s="50"/>
      <c r="E124" s="50">
        <v>40</v>
      </c>
      <c r="F124" s="50">
        <f t="shared" si="4"/>
        <v>0</v>
      </c>
      <c r="G124" s="57" t="s">
        <v>42</v>
      </c>
    </row>
    <row r="125" spans="1:7" x14ac:dyDescent="0.2">
      <c r="A125" s="57">
        <v>50</v>
      </c>
      <c r="B125" s="43">
        <v>46008</v>
      </c>
      <c r="C125" s="48" t="s">
        <v>97</v>
      </c>
      <c r="D125" s="50">
        <v>5</v>
      </c>
      <c r="E125" s="50"/>
      <c r="F125" s="50">
        <f t="shared" si="4"/>
        <v>5</v>
      </c>
      <c r="G125" s="74" t="s">
        <v>158</v>
      </c>
    </row>
    <row r="126" spans="1:7" x14ac:dyDescent="0.2">
      <c r="A126" s="57">
        <v>51</v>
      </c>
      <c r="B126" s="43">
        <v>46008</v>
      </c>
      <c r="C126" s="48" t="s">
        <v>11</v>
      </c>
      <c r="D126" s="50"/>
      <c r="E126" s="50">
        <v>5</v>
      </c>
      <c r="F126" s="50">
        <f t="shared" si="4"/>
        <v>0</v>
      </c>
      <c r="G126" s="74" t="s">
        <v>158</v>
      </c>
    </row>
    <row r="127" spans="1:7" x14ac:dyDescent="0.2">
      <c r="A127" s="57">
        <v>52</v>
      </c>
      <c r="B127" s="43">
        <v>46010</v>
      </c>
      <c r="C127" s="48" t="s">
        <v>97</v>
      </c>
      <c r="D127" s="50">
        <v>4</v>
      </c>
      <c r="E127" s="50"/>
      <c r="F127" s="50">
        <f t="shared" si="4"/>
        <v>4</v>
      </c>
      <c r="G127" s="69" t="s">
        <v>156</v>
      </c>
    </row>
    <row r="128" spans="1:7" x14ac:dyDescent="0.2">
      <c r="A128" s="57">
        <v>53</v>
      </c>
      <c r="B128" s="43">
        <v>46010</v>
      </c>
      <c r="C128" s="48" t="s">
        <v>11</v>
      </c>
      <c r="D128" s="50"/>
      <c r="E128" s="50">
        <v>4</v>
      </c>
      <c r="F128" s="50">
        <f t="shared" si="4"/>
        <v>0</v>
      </c>
      <c r="G128" s="69" t="s">
        <v>156</v>
      </c>
    </row>
    <row r="129" spans="1:7" x14ac:dyDescent="0.2">
      <c r="A129" s="57">
        <v>54</v>
      </c>
      <c r="B129" s="43">
        <v>46010</v>
      </c>
      <c r="C129" s="48" t="s">
        <v>97</v>
      </c>
      <c r="D129" s="50">
        <v>4</v>
      </c>
      <c r="E129" s="50"/>
      <c r="F129" s="50">
        <f t="shared" si="4"/>
        <v>4</v>
      </c>
      <c r="G129" s="69" t="s">
        <v>157</v>
      </c>
    </row>
    <row r="130" spans="1:7" x14ac:dyDescent="0.2">
      <c r="A130" s="57">
        <v>55</v>
      </c>
      <c r="B130" s="43">
        <v>46010</v>
      </c>
      <c r="C130" s="48" t="s">
        <v>11</v>
      </c>
      <c r="D130" s="50"/>
      <c r="E130" s="50">
        <v>4</v>
      </c>
      <c r="F130" s="50">
        <f t="shared" si="4"/>
        <v>0</v>
      </c>
      <c r="G130" s="69" t="s">
        <v>157</v>
      </c>
    </row>
    <row r="131" spans="1:7" x14ac:dyDescent="0.2">
      <c r="A131" s="57">
        <v>56</v>
      </c>
      <c r="B131" s="43">
        <v>46010</v>
      </c>
      <c r="C131" s="48" t="s">
        <v>97</v>
      </c>
      <c r="D131" s="50">
        <v>4</v>
      </c>
      <c r="E131" s="50"/>
      <c r="F131" s="50">
        <f t="shared" si="4"/>
        <v>4</v>
      </c>
      <c r="G131" s="69" t="s">
        <v>159</v>
      </c>
    </row>
    <row r="132" spans="1:7" x14ac:dyDescent="0.2">
      <c r="A132" s="57">
        <v>57</v>
      </c>
      <c r="B132" s="43">
        <v>46010</v>
      </c>
      <c r="C132" s="48" t="s">
        <v>11</v>
      </c>
      <c r="D132" s="50"/>
      <c r="E132" s="50">
        <v>4</v>
      </c>
      <c r="F132" s="50">
        <f t="shared" si="4"/>
        <v>0</v>
      </c>
      <c r="G132" s="69" t="s">
        <v>159</v>
      </c>
    </row>
    <row r="133" spans="1:7" x14ac:dyDescent="0.2">
      <c r="A133" s="57">
        <v>58</v>
      </c>
      <c r="B133" s="36">
        <v>46012</v>
      </c>
      <c r="C133" s="48" t="s">
        <v>97</v>
      </c>
      <c r="D133" s="50">
        <v>4</v>
      </c>
      <c r="E133" s="50"/>
      <c r="F133" s="50">
        <f t="shared" si="4"/>
        <v>4</v>
      </c>
      <c r="G133" s="87" t="s">
        <v>160</v>
      </c>
    </row>
    <row r="134" spans="1:7" x14ac:dyDescent="0.2">
      <c r="A134" s="57">
        <v>59</v>
      </c>
      <c r="B134" s="36">
        <v>46012</v>
      </c>
      <c r="C134" s="48" t="s">
        <v>11</v>
      </c>
      <c r="D134" s="50"/>
      <c r="E134" s="50">
        <v>4</v>
      </c>
      <c r="F134" s="50">
        <f t="shared" si="4"/>
        <v>0</v>
      </c>
      <c r="G134" s="87" t="s">
        <v>160</v>
      </c>
    </row>
    <row r="135" spans="1:7" x14ac:dyDescent="0.2">
      <c r="A135" s="57">
        <v>60</v>
      </c>
      <c r="B135" s="36">
        <v>46012</v>
      </c>
      <c r="C135" s="48" t="s">
        <v>97</v>
      </c>
      <c r="D135" s="50">
        <v>4</v>
      </c>
      <c r="E135" s="50"/>
      <c r="F135" s="50">
        <f t="shared" si="4"/>
        <v>4</v>
      </c>
      <c r="G135" s="87" t="s">
        <v>161</v>
      </c>
    </row>
    <row r="136" spans="1:7" x14ac:dyDescent="0.2">
      <c r="A136" s="57">
        <v>61</v>
      </c>
      <c r="B136" s="36">
        <v>46012</v>
      </c>
      <c r="C136" s="48" t="s">
        <v>11</v>
      </c>
      <c r="D136" s="50"/>
      <c r="E136" s="50">
        <v>4</v>
      </c>
      <c r="F136" s="50">
        <f t="shared" si="4"/>
        <v>0</v>
      </c>
      <c r="G136" s="87" t="s">
        <v>161</v>
      </c>
    </row>
    <row r="137" spans="1:7" x14ac:dyDescent="0.2">
      <c r="A137" s="57">
        <v>62</v>
      </c>
      <c r="B137" s="36">
        <v>46012</v>
      </c>
      <c r="C137" s="48" t="s">
        <v>97</v>
      </c>
      <c r="D137" s="50">
        <v>4</v>
      </c>
      <c r="E137" s="50"/>
      <c r="F137" s="50">
        <f t="shared" si="4"/>
        <v>4</v>
      </c>
      <c r="G137" s="87" t="s">
        <v>162</v>
      </c>
    </row>
    <row r="138" spans="1:7" x14ac:dyDescent="0.2">
      <c r="A138" s="57">
        <v>63</v>
      </c>
      <c r="B138" s="36">
        <v>46012</v>
      </c>
      <c r="C138" s="48" t="s">
        <v>11</v>
      </c>
      <c r="D138" s="50"/>
      <c r="E138" s="50">
        <v>4</v>
      </c>
      <c r="F138" s="50">
        <f t="shared" si="4"/>
        <v>0</v>
      </c>
      <c r="G138" s="87" t="s">
        <v>162</v>
      </c>
    </row>
    <row r="139" spans="1:7" x14ac:dyDescent="0.2">
      <c r="A139" s="57"/>
      <c r="B139" s="36"/>
      <c r="C139" s="46"/>
      <c r="D139" s="50"/>
      <c r="E139" s="50"/>
      <c r="F139" s="50"/>
      <c r="G139" s="57"/>
    </row>
  </sheetData>
  <mergeCells count="3">
    <mergeCell ref="A1:G1"/>
    <mergeCell ref="A2:G2"/>
    <mergeCell ref="A3:G3"/>
  </mergeCells>
  <pageMargins left="0.39370078740157483" right="0.39370078740157483" top="0.74803149606299213" bottom="0.74803149606299213" header="0.31496062992125984" footer="0.31496062992125984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view="pageBreakPreview" zoomScale="110" zoomScaleSheetLayoutView="110" workbookViewId="0">
      <pane xSplit="1" ySplit="3" topLeftCell="B50" activePane="bottomRight" state="frozen"/>
      <selection pane="topRight" activeCell="B1" sqref="B1"/>
      <selection pane="bottomLeft" activeCell="A4" sqref="A4"/>
      <selection pane="bottomRight" activeCell="B58" sqref="B58"/>
    </sheetView>
  </sheetViews>
  <sheetFormatPr defaultColWidth="9.140625" defaultRowHeight="14.25" x14ac:dyDescent="0.2"/>
  <cols>
    <col min="1" max="1" width="4.85546875" style="14" customWidth="1"/>
    <col min="2" max="2" width="13.42578125" style="20" customWidth="1"/>
    <col min="3" max="3" width="27.5703125" style="14" customWidth="1"/>
    <col min="4" max="6" width="9.140625" style="14"/>
    <col min="7" max="7" width="19.140625" style="14" customWidth="1"/>
    <col min="8" max="16384" width="9.140625" style="14"/>
  </cols>
  <sheetData>
    <row r="1" spans="1:7" s="1" customFormat="1" ht="15.75" x14ac:dyDescent="0.25">
      <c r="A1" s="105" t="s">
        <v>29</v>
      </c>
      <c r="B1" s="105"/>
      <c r="C1" s="105"/>
      <c r="D1" s="105"/>
      <c r="E1" s="105"/>
      <c r="F1" s="105"/>
      <c r="G1" s="105"/>
    </row>
    <row r="2" spans="1:7" s="1" customFormat="1" ht="15.75" x14ac:dyDescent="0.25">
      <c r="A2" s="105" t="s">
        <v>30</v>
      </c>
      <c r="B2" s="105"/>
      <c r="C2" s="105"/>
      <c r="D2" s="105"/>
      <c r="E2" s="105"/>
      <c r="F2" s="105"/>
      <c r="G2" s="105"/>
    </row>
    <row r="3" spans="1:7" s="1" customFormat="1" ht="15.75" x14ac:dyDescent="0.25">
      <c r="A3" s="105" t="s">
        <v>165</v>
      </c>
      <c r="B3" s="105"/>
      <c r="C3" s="105"/>
      <c r="D3" s="105"/>
      <c r="E3" s="105"/>
      <c r="F3" s="105"/>
      <c r="G3" s="105"/>
    </row>
    <row r="4" spans="1:7" s="1" customFormat="1" ht="15.75" x14ac:dyDescent="0.25">
      <c r="A4" s="2"/>
      <c r="B4" s="2"/>
      <c r="C4" s="2"/>
      <c r="D4" s="2"/>
      <c r="E4" s="2"/>
      <c r="F4" s="2"/>
      <c r="G4" s="2"/>
    </row>
    <row r="5" spans="1:7" s="1" customFormat="1" ht="15.75" x14ac:dyDescent="0.25">
      <c r="A5" s="3" t="s">
        <v>8</v>
      </c>
      <c r="B5" s="2"/>
      <c r="C5" s="3" t="s">
        <v>78</v>
      </c>
      <c r="D5" s="2"/>
      <c r="E5" s="2"/>
      <c r="F5" s="2"/>
      <c r="G5" s="2"/>
    </row>
    <row r="6" spans="1:7" s="1" customFormat="1" ht="15.75" x14ac:dyDescent="0.25">
      <c r="A6" s="3" t="s">
        <v>9</v>
      </c>
      <c r="B6" s="2"/>
      <c r="C6" s="3" t="s">
        <v>10</v>
      </c>
      <c r="D6" s="2"/>
      <c r="E6" s="2"/>
      <c r="F6" s="2"/>
      <c r="G6" s="2"/>
    </row>
    <row r="8" spans="1:7" s="6" customFormat="1" x14ac:dyDescent="0.2">
      <c r="A8" s="4" t="s">
        <v>0</v>
      </c>
      <c r="B8" s="5" t="s">
        <v>1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2</v>
      </c>
    </row>
    <row r="9" spans="1:7" s="6" customFormat="1" x14ac:dyDescent="0.2">
      <c r="A9" s="7">
        <v>1</v>
      </c>
      <c r="B9" s="75">
        <v>45658</v>
      </c>
      <c r="C9" s="9" t="s">
        <v>7</v>
      </c>
      <c r="D9" s="10"/>
      <c r="E9" s="10"/>
      <c r="F9" s="10">
        <v>0</v>
      </c>
      <c r="G9" s="7"/>
    </row>
    <row r="10" spans="1:7" x14ac:dyDescent="0.2">
      <c r="A10" s="11">
        <v>2</v>
      </c>
      <c r="B10" s="12"/>
      <c r="C10" s="13"/>
      <c r="D10" s="49"/>
      <c r="E10" s="49"/>
      <c r="F10" s="49">
        <f>F9+D10-E10</f>
        <v>0</v>
      </c>
      <c r="G10" s="11"/>
    </row>
    <row r="11" spans="1:7" x14ac:dyDescent="0.2">
      <c r="A11" s="11">
        <v>3</v>
      </c>
      <c r="B11" s="12"/>
      <c r="C11" s="13"/>
      <c r="D11" s="49"/>
      <c r="E11" s="49"/>
      <c r="F11" s="49">
        <f>F10+D11-E11</f>
        <v>0</v>
      </c>
      <c r="G11" s="11"/>
    </row>
    <row r="12" spans="1:7" x14ac:dyDescent="0.2">
      <c r="A12" s="15"/>
      <c r="B12" s="16"/>
      <c r="C12" s="17"/>
      <c r="D12" s="18"/>
      <c r="E12" s="18"/>
      <c r="F12" s="19"/>
      <c r="G12" s="15"/>
    </row>
    <row r="14" spans="1:7" ht="15.75" x14ac:dyDescent="0.25">
      <c r="A14" s="3" t="s">
        <v>8</v>
      </c>
      <c r="B14" s="2"/>
      <c r="C14" s="3" t="s">
        <v>79</v>
      </c>
      <c r="D14" s="2"/>
      <c r="E14" s="2"/>
      <c r="F14" s="2"/>
      <c r="G14" s="2"/>
    </row>
    <row r="15" spans="1:7" ht="15.75" x14ac:dyDescent="0.25">
      <c r="A15" s="3" t="s">
        <v>9</v>
      </c>
      <c r="B15" s="2"/>
      <c r="C15" s="3" t="s">
        <v>10</v>
      </c>
      <c r="D15" s="2"/>
      <c r="E15" s="2"/>
      <c r="F15" s="2"/>
      <c r="G15" s="2"/>
    </row>
    <row r="17" spans="1:7" x14ac:dyDescent="0.2">
      <c r="A17" s="4" t="s">
        <v>0</v>
      </c>
      <c r="B17" s="5" t="s">
        <v>1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2</v>
      </c>
    </row>
    <row r="18" spans="1:7" s="1" customFormat="1" ht="15.75" x14ac:dyDescent="0.25">
      <c r="A18" s="7">
        <v>1</v>
      </c>
      <c r="B18" s="75">
        <v>45658</v>
      </c>
      <c r="C18" s="9" t="s">
        <v>7</v>
      </c>
      <c r="D18" s="10"/>
      <c r="E18" s="10"/>
      <c r="F18" s="10">
        <v>0</v>
      </c>
      <c r="G18" s="7"/>
    </row>
    <row r="19" spans="1:7" s="1" customFormat="1" ht="15.75" x14ac:dyDescent="0.25">
      <c r="A19" s="11">
        <v>2</v>
      </c>
      <c r="B19" s="12"/>
      <c r="C19" s="13"/>
      <c r="D19" s="49"/>
      <c r="E19" s="49"/>
      <c r="F19" s="49">
        <f>F18+D19-E19</f>
        <v>0</v>
      </c>
      <c r="G19" s="11"/>
    </row>
    <row r="20" spans="1:7" s="1" customFormat="1" ht="15.75" x14ac:dyDescent="0.25">
      <c r="A20" s="11">
        <v>3</v>
      </c>
      <c r="B20" s="12"/>
      <c r="C20" s="13"/>
      <c r="D20" s="49"/>
      <c r="E20" s="49"/>
      <c r="F20" s="49">
        <f>F19+D20-E20</f>
        <v>0</v>
      </c>
      <c r="G20" s="11"/>
    </row>
    <row r="21" spans="1:7" s="1" customFormat="1" ht="15.75" x14ac:dyDescent="0.25">
      <c r="A21" s="15"/>
      <c r="B21" s="16"/>
      <c r="C21" s="17"/>
      <c r="D21" s="18"/>
      <c r="E21" s="18"/>
      <c r="F21" s="19"/>
      <c r="G21" s="15"/>
    </row>
    <row r="22" spans="1:7" s="1" customFormat="1" ht="15.75" x14ac:dyDescent="0.25">
      <c r="A22" s="38"/>
      <c r="B22" s="42"/>
      <c r="C22" s="39"/>
      <c r="D22" s="40"/>
      <c r="E22" s="40"/>
      <c r="F22" s="41"/>
      <c r="G22" s="38"/>
    </row>
    <row r="23" spans="1:7" s="1" customFormat="1" ht="15.75" x14ac:dyDescent="0.25">
      <c r="A23" s="3" t="s">
        <v>8</v>
      </c>
      <c r="B23" s="2"/>
      <c r="C23" s="3" t="s">
        <v>34</v>
      </c>
      <c r="D23" s="2"/>
      <c r="E23" s="2"/>
      <c r="F23" s="2"/>
      <c r="G23" s="2"/>
    </row>
    <row r="24" spans="1:7" s="1" customFormat="1" ht="15.75" x14ac:dyDescent="0.25">
      <c r="A24" s="3" t="s">
        <v>9</v>
      </c>
      <c r="B24" s="2"/>
      <c r="C24" s="3" t="s">
        <v>35</v>
      </c>
      <c r="D24" s="2"/>
      <c r="E24" s="2"/>
      <c r="F24" s="2"/>
      <c r="G24" s="2"/>
    </row>
    <row r="26" spans="1:7" s="6" customFormat="1" x14ac:dyDescent="0.2">
      <c r="A26" s="4" t="s">
        <v>0</v>
      </c>
      <c r="B26" s="5" t="s">
        <v>1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2</v>
      </c>
    </row>
    <row r="27" spans="1:7" s="6" customFormat="1" x14ac:dyDescent="0.2">
      <c r="A27" s="7">
        <v>1</v>
      </c>
      <c r="B27" s="75">
        <v>45658</v>
      </c>
      <c r="C27" s="9" t="s">
        <v>7</v>
      </c>
      <c r="D27" s="10"/>
      <c r="E27" s="10"/>
      <c r="F27" s="10">
        <v>0</v>
      </c>
      <c r="G27" s="7"/>
    </row>
    <row r="28" spans="1:7" x14ac:dyDescent="0.2">
      <c r="A28" s="11">
        <v>2</v>
      </c>
      <c r="B28" s="12"/>
      <c r="C28" s="13"/>
      <c r="D28" s="49"/>
      <c r="E28" s="49"/>
      <c r="F28" s="49"/>
      <c r="G28" s="11"/>
    </row>
    <row r="29" spans="1:7" x14ac:dyDescent="0.2">
      <c r="A29" s="11">
        <v>3</v>
      </c>
      <c r="B29" s="12"/>
      <c r="C29" s="13"/>
      <c r="D29" s="49"/>
      <c r="E29" s="49"/>
      <c r="F29" s="49"/>
      <c r="G29" s="11"/>
    </row>
    <row r="30" spans="1:7" x14ac:dyDescent="0.2">
      <c r="A30" s="15"/>
      <c r="B30" s="16"/>
      <c r="C30" s="17"/>
      <c r="D30" s="18"/>
      <c r="E30" s="18"/>
      <c r="F30" s="19"/>
      <c r="G30" s="15"/>
    </row>
    <row r="31" spans="1:7" hidden="1" x14ac:dyDescent="0.2"/>
    <row r="32" spans="1:7" ht="15.75" hidden="1" x14ac:dyDescent="0.25">
      <c r="A32" s="105" t="s">
        <v>29</v>
      </c>
      <c r="B32" s="105"/>
      <c r="C32" s="105"/>
      <c r="D32" s="105"/>
      <c r="E32" s="105"/>
      <c r="F32" s="105"/>
      <c r="G32" s="105"/>
    </row>
    <row r="33" spans="1:7" ht="15.75" hidden="1" x14ac:dyDescent="0.25">
      <c r="A33" s="105" t="s">
        <v>30</v>
      </c>
      <c r="B33" s="105"/>
      <c r="C33" s="105"/>
      <c r="D33" s="105"/>
      <c r="E33" s="105"/>
      <c r="F33" s="105"/>
      <c r="G33" s="105"/>
    </row>
    <row r="34" spans="1:7" ht="15.75" hidden="1" x14ac:dyDescent="0.25">
      <c r="A34" s="105" t="s">
        <v>14</v>
      </c>
      <c r="B34" s="105"/>
      <c r="C34" s="105"/>
      <c r="D34" s="105"/>
      <c r="E34" s="105"/>
      <c r="F34" s="105"/>
      <c r="G34" s="105"/>
    </row>
    <row r="35" spans="1:7" ht="15.75" x14ac:dyDescent="0.25">
      <c r="A35" s="2"/>
      <c r="B35" s="2"/>
      <c r="C35" s="2"/>
      <c r="D35" s="2"/>
      <c r="E35" s="2"/>
      <c r="F35" s="2"/>
      <c r="G35" s="2"/>
    </row>
    <row r="36" spans="1:7" ht="15.75" x14ac:dyDescent="0.25">
      <c r="A36" s="3" t="s">
        <v>8</v>
      </c>
      <c r="B36" s="2"/>
      <c r="C36" s="3" t="s">
        <v>36</v>
      </c>
      <c r="D36" s="2"/>
      <c r="E36" s="2"/>
      <c r="F36" s="2"/>
      <c r="G36" s="2"/>
    </row>
    <row r="37" spans="1:7" ht="15.75" x14ac:dyDescent="0.25">
      <c r="A37" s="3" t="s">
        <v>9</v>
      </c>
      <c r="B37" s="2"/>
      <c r="C37" s="3" t="s">
        <v>10</v>
      </c>
      <c r="D37" s="2"/>
      <c r="E37" s="2"/>
      <c r="F37" s="2"/>
      <c r="G37" s="2"/>
    </row>
    <row r="39" spans="1:7" x14ac:dyDescent="0.2">
      <c r="A39" s="4" t="s">
        <v>0</v>
      </c>
      <c r="B39" s="5" t="s">
        <v>1</v>
      </c>
      <c r="C39" s="4" t="s">
        <v>3</v>
      </c>
      <c r="D39" s="4" t="s">
        <v>4</v>
      </c>
      <c r="E39" s="4" t="s">
        <v>5</v>
      </c>
      <c r="F39" s="4" t="s">
        <v>6</v>
      </c>
      <c r="G39" s="4" t="s">
        <v>2</v>
      </c>
    </row>
    <row r="40" spans="1:7" x14ac:dyDescent="0.2">
      <c r="A40" s="7">
        <v>1</v>
      </c>
      <c r="B40" s="75">
        <v>45658</v>
      </c>
      <c r="C40" s="9" t="s">
        <v>7</v>
      </c>
      <c r="D40" s="10"/>
      <c r="E40" s="10"/>
      <c r="F40" s="10">
        <v>0</v>
      </c>
      <c r="G40" s="7"/>
    </row>
    <row r="41" spans="1:7" x14ac:dyDescent="0.2">
      <c r="A41" s="11">
        <v>2</v>
      </c>
      <c r="B41" s="12"/>
      <c r="C41" s="13"/>
      <c r="D41" s="49"/>
      <c r="E41" s="49"/>
      <c r="F41" s="49">
        <f>F40+D41-E41</f>
        <v>0</v>
      </c>
      <c r="G41" s="11"/>
    </row>
    <row r="42" spans="1:7" x14ac:dyDescent="0.2">
      <c r="A42" s="11">
        <v>3</v>
      </c>
      <c r="B42" s="12"/>
      <c r="C42" s="13"/>
      <c r="D42" s="49"/>
      <c r="E42" s="49"/>
      <c r="F42" s="49">
        <f>F41+D42-E42</f>
        <v>0</v>
      </c>
      <c r="G42" s="11"/>
    </row>
    <row r="43" spans="1:7" x14ac:dyDescent="0.2">
      <c r="A43" s="15"/>
      <c r="B43" s="16"/>
      <c r="C43" s="17"/>
      <c r="D43" s="18"/>
      <c r="E43" s="18"/>
      <c r="F43" s="19"/>
      <c r="G43" s="15"/>
    </row>
    <row r="45" spans="1:7" ht="15.75" x14ac:dyDescent="0.25">
      <c r="A45" s="3" t="s">
        <v>8</v>
      </c>
      <c r="B45" s="2"/>
      <c r="C45" s="3" t="s">
        <v>80</v>
      </c>
      <c r="D45" s="2"/>
      <c r="E45" s="2"/>
      <c r="F45" s="2"/>
      <c r="G45" s="2"/>
    </row>
    <row r="46" spans="1:7" ht="15.75" x14ac:dyDescent="0.25">
      <c r="A46" s="3" t="s">
        <v>9</v>
      </c>
      <c r="B46" s="2"/>
      <c r="C46" s="3" t="s">
        <v>10</v>
      </c>
      <c r="D46" s="2"/>
      <c r="E46" s="2"/>
      <c r="F46" s="2"/>
      <c r="G46" s="2"/>
    </row>
    <row r="48" spans="1:7" x14ac:dyDescent="0.2">
      <c r="A48" s="4" t="s">
        <v>0</v>
      </c>
      <c r="B48" s="5" t="s">
        <v>1</v>
      </c>
      <c r="C48" s="4" t="s">
        <v>3</v>
      </c>
      <c r="D48" s="4" t="s">
        <v>4</v>
      </c>
      <c r="E48" s="4" t="s">
        <v>5</v>
      </c>
      <c r="F48" s="4" t="s">
        <v>6</v>
      </c>
      <c r="G48" s="4" t="s">
        <v>2</v>
      </c>
    </row>
    <row r="49" spans="1:7" x14ac:dyDescent="0.2">
      <c r="A49" s="7">
        <v>1</v>
      </c>
      <c r="B49" s="75">
        <v>45658</v>
      </c>
      <c r="C49" s="9" t="s">
        <v>7</v>
      </c>
      <c r="D49" s="10"/>
      <c r="E49" s="10"/>
      <c r="F49" s="10">
        <v>0</v>
      </c>
      <c r="G49" s="7"/>
    </row>
    <row r="50" spans="1:7" x14ac:dyDescent="0.2">
      <c r="A50" s="11">
        <v>2</v>
      </c>
      <c r="B50" s="12"/>
      <c r="C50" s="13"/>
      <c r="D50" s="49"/>
      <c r="E50" s="49"/>
      <c r="F50" s="49">
        <f>F49+D50-E50</f>
        <v>0</v>
      </c>
      <c r="G50" s="11"/>
    </row>
    <row r="51" spans="1:7" x14ac:dyDescent="0.2">
      <c r="A51" s="11">
        <v>3</v>
      </c>
      <c r="B51" s="12"/>
      <c r="C51" s="13"/>
      <c r="D51" s="49"/>
      <c r="E51" s="49"/>
      <c r="F51" s="49">
        <f>F50+D51-E51</f>
        <v>0</v>
      </c>
      <c r="G51" s="11"/>
    </row>
    <row r="52" spans="1:7" x14ac:dyDescent="0.2">
      <c r="A52" s="15"/>
      <c r="B52" s="16"/>
      <c r="C52" s="17"/>
      <c r="D52" s="18"/>
      <c r="E52" s="18"/>
      <c r="F52" s="19"/>
      <c r="G52" s="15"/>
    </row>
    <row r="54" spans="1:7" ht="15.75" x14ac:dyDescent="0.25">
      <c r="A54" s="3" t="s">
        <v>8</v>
      </c>
      <c r="B54" s="2"/>
      <c r="C54" s="3" t="s">
        <v>81</v>
      </c>
      <c r="D54" s="2"/>
      <c r="E54" s="2"/>
      <c r="F54" s="2"/>
      <c r="G54" s="2"/>
    </row>
    <row r="55" spans="1:7" ht="15.75" x14ac:dyDescent="0.25">
      <c r="A55" s="3" t="s">
        <v>9</v>
      </c>
      <c r="B55" s="2"/>
      <c r="C55" s="3" t="s">
        <v>10</v>
      </c>
      <c r="D55" s="2"/>
      <c r="E55" s="2"/>
      <c r="F55" s="2"/>
      <c r="G55" s="2"/>
    </row>
    <row r="57" spans="1:7" x14ac:dyDescent="0.2">
      <c r="A57" s="4" t="s">
        <v>0</v>
      </c>
      <c r="B57" s="5" t="s">
        <v>1</v>
      </c>
      <c r="C57" s="4" t="s">
        <v>3</v>
      </c>
      <c r="D57" s="4" t="s">
        <v>4</v>
      </c>
      <c r="E57" s="4" t="s">
        <v>5</v>
      </c>
      <c r="F57" s="4" t="s">
        <v>6</v>
      </c>
      <c r="G57" s="4" t="s">
        <v>2</v>
      </c>
    </row>
    <row r="58" spans="1:7" x14ac:dyDescent="0.2">
      <c r="A58" s="7">
        <v>1</v>
      </c>
      <c r="B58" s="75">
        <v>45658</v>
      </c>
      <c r="C58" s="9" t="s">
        <v>7</v>
      </c>
      <c r="D58" s="10"/>
      <c r="E58" s="10"/>
      <c r="F58" s="10">
        <v>0</v>
      </c>
      <c r="G58" s="7"/>
    </row>
    <row r="59" spans="1:7" x14ac:dyDescent="0.2">
      <c r="A59" s="11">
        <v>2</v>
      </c>
      <c r="B59" s="12"/>
      <c r="C59" s="13"/>
      <c r="D59" s="49"/>
      <c r="E59" s="49"/>
      <c r="F59" s="49">
        <f>F58+D59-E59</f>
        <v>0</v>
      </c>
      <c r="G59" s="11"/>
    </row>
    <row r="60" spans="1:7" x14ac:dyDescent="0.2">
      <c r="A60" s="11">
        <v>3</v>
      </c>
      <c r="B60" s="12"/>
      <c r="C60" s="13"/>
      <c r="D60" s="49"/>
      <c r="E60" s="49"/>
      <c r="F60" s="49">
        <f>F59+D60-E60</f>
        <v>0</v>
      </c>
      <c r="G60" s="11"/>
    </row>
    <row r="61" spans="1:7" x14ac:dyDescent="0.2">
      <c r="A61" s="15"/>
      <c r="B61" s="16"/>
      <c r="C61" s="17"/>
      <c r="D61" s="18"/>
      <c r="E61" s="18"/>
      <c r="F61" s="19"/>
      <c r="G61" s="15"/>
    </row>
  </sheetData>
  <mergeCells count="6">
    <mergeCell ref="A32:G32"/>
    <mergeCell ref="A33:G33"/>
    <mergeCell ref="A34:G34"/>
    <mergeCell ref="A1:G1"/>
    <mergeCell ref="A2:G2"/>
    <mergeCell ref="A3:G3"/>
  </mergeCells>
  <pageMargins left="0.7" right="0.7" top="0.75" bottom="0.75" header="0.3" footer="0.3"/>
  <pageSetup scale="98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view="pageBreakPreview" zoomScale="110" zoomScaleSheetLayoutView="110" workbookViewId="0">
      <pane xSplit="1" ySplit="3" topLeftCell="B163" activePane="bottomRight" state="frozen"/>
      <selection pane="topRight" activeCell="B1" sqref="B1"/>
      <selection pane="bottomLeft" activeCell="A4" sqref="A4"/>
      <selection pane="bottomRight" activeCell="C129" sqref="C129"/>
    </sheetView>
  </sheetViews>
  <sheetFormatPr defaultColWidth="9.140625" defaultRowHeight="14.25" x14ac:dyDescent="0.2"/>
  <cols>
    <col min="1" max="1" width="4.85546875" style="14" customWidth="1"/>
    <col min="2" max="2" width="13.42578125" style="20" customWidth="1"/>
    <col min="3" max="3" width="27.5703125" style="14" customWidth="1"/>
    <col min="4" max="6" width="9.140625" style="14"/>
    <col min="7" max="7" width="19.140625" style="14" customWidth="1"/>
    <col min="8" max="16384" width="9.140625" style="14"/>
  </cols>
  <sheetData>
    <row r="1" spans="1:7" s="1" customFormat="1" ht="15.75" x14ac:dyDescent="0.25">
      <c r="A1" s="105" t="s">
        <v>29</v>
      </c>
      <c r="B1" s="105"/>
      <c r="C1" s="105"/>
      <c r="D1" s="105"/>
      <c r="E1" s="105"/>
      <c r="F1" s="105"/>
      <c r="G1" s="105"/>
    </row>
    <row r="2" spans="1:7" s="1" customFormat="1" ht="15.75" x14ac:dyDescent="0.25">
      <c r="A2" s="105" t="s">
        <v>30</v>
      </c>
      <c r="B2" s="105"/>
      <c r="C2" s="105"/>
      <c r="D2" s="105"/>
      <c r="E2" s="105"/>
      <c r="F2" s="105"/>
      <c r="G2" s="105"/>
    </row>
    <row r="3" spans="1:7" s="1" customFormat="1" ht="15.75" x14ac:dyDescent="0.25">
      <c r="A3" s="105" t="s">
        <v>138</v>
      </c>
      <c r="B3" s="105"/>
      <c r="C3" s="105"/>
      <c r="D3" s="105"/>
      <c r="E3" s="105"/>
      <c r="F3" s="105"/>
      <c r="G3" s="105"/>
    </row>
    <row r="4" spans="1:7" s="1" customFormat="1" ht="15.75" x14ac:dyDescent="0.25">
      <c r="A4" s="2"/>
      <c r="B4" s="2"/>
      <c r="C4" s="2"/>
      <c r="D4" s="2"/>
      <c r="E4" s="2"/>
      <c r="F4" s="2"/>
      <c r="G4" s="2"/>
    </row>
    <row r="5" spans="1:7" ht="15.75" x14ac:dyDescent="0.25">
      <c r="A5" s="3" t="s">
        <v>8</v>
      </c>
      <c r="B5" s="2"/>
      <c r="C5" s="3" t="s">
        <v>82</v>
      </c>
      <c r="D5" s="2"/>
      <c r="E5" s="2"/>
      <c r="F5" s="2"/>
      <c r="G5" s="2"/>
    </row>
    <row r="6" spans="1:7" ht="15.75" x14ac:dyDescent="0.25">
      <c r="A6" s="3" t="s">
        <v>9</v>
      </c>
      <c r="B6" s="2"/>
      <c r="C6" s="3" t="s">
        <v>83</v>
      </c>
      <c r="D6" s="2"/>
      <c r="E6" s="2"/>
      <c r="F6" s="2"/>
      <c r="G6" s="2"/>
    </row>
    <row r="8" spans="1:7" x14ac:dyDescent="0.2">
      <c r="A8" s="4" t="s">
        <v>0</v>
      </c>
      <c r="B8" s="5" t="s">
        <v>1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2</v>
      </c>
    </row>
    <row r="9" spans="1:7" x14ac:dyDescent="0.2">
      <c r="A9" s="7">
        <v>1</v>
      </c>
      <c r="B9" s="12">
        <v>45658</v>
      </c>
      <c r="C9" s="9" t="s">
        <v>7</v>
      </c>
      <c r="D9" s="10"/>
      <c r="E9" s="10"/>
      <c r="F9" s="10">
        <v>0</v>
      </c>
      <c r="G9" s="7"/>
    </row>
    <row r="10" spans="1:7" x14ac:dyDescent="0.2">
      <c r="A10" s="11">
        <v>2</v>
      </c>
      <c r="B10" s="12">
        <v>45852</v>
      </c>
      <c r="C10" s="13" t="s">
        <v>118</v>
      </c>
      <c r="D10" s="49">
        <v>3</v>
      </c>
      <c r="E10" s="49"/>
      <c r="F10" s="49">
        <f>F9+D10-E10</f>
        <v>3</v>
      </c>
      <c r="G10" s="11" t="s">
        <v>119</v>
      </c>
    </row>
    <row r="11" spans="1:7" x14ac:dyDescent="0.2">
      <c r="A11" s="11">
        <v>3</v>
      </c>
      <c r="B11" s="12">
        <v>45852</v>
      </c>
      <c r="C11" s="13" t="s">
        <v>11</v>
      </c>
      <c r="D11" s="49"/>
      <c r="E11" s="49">
        <v>3</v>
      </c>
      <c r="F11" s="49">
        <f t="shared" ref="F11:F12" si="0">F10+D11-E11</f>
        <v>0</v>
      </c>
      <c r="G11" s="11" t="s">
        <v>119</v>
      </c>
    </row>
    <row r="12" spans="1:7" x14ac:dyDescent="0.2">
      <c r="A12" s="11">
        <v>4</v>
      </c>
      <c r="B12" s="12"/>
      <c r="C12" s="13"/>
      <c r="D12" s="49"/>
      <c r="E12" s="49"/>
      <c r="F12" s="49">
        <f t="shared" si="0"/>
        <v>0</v>
      </c>
      <c r="G12" s="11"/>
    </row>
    <row r="13" spans="1:7" x14ac:dyDescent="0.2">
      <c r="A13" s="15"/>
      <c r="B13" s="16"/>
      <c r="C13" s="17"/>
      <c r="D13" s="18"/>
      <c r="E13" s="18"/>
      <c r="F13" s="19"/>
      <c r="G13" s="15"/>
    </row>
    <row r="15" spans="1:7" s="70" customFormat="1" ht="15.75" x14ac:dyDescent="0.25">
      <c r="A15" s="64" t="s">
        <v>8</v>
      </c>
      <c r="B15" s="65"/>
      <c r="C15" s="3" t="s">
        <v>84</v>
      </c>
      <c r="D15" s="65"/>
      <c r="E15" s="65"/>
      <c r="F15" s="65"/>
      <c r="G15" s="65"/>
    </row>
    <row r="16" spans="1:7" s="1" customFormat="1" ht="15.75" x14ac:dyDescent="0.25">
      <c r="A16" s="3" t="s">
        <v>9</v>
      </c>
      <c r="B16" s="2"/>
      <c r="C16" s="3" t="s">
        <v>83</v>
      </c>
      <c r="D16" s="2"/>
      <c r="E16" s="2"/>
      <c r="F16" s="2"/>
      <c r="G16" s="2"/>
    </row>
    <row r="18" spans="1:7" s="6" customFormat="1" x14ac:dyDescent="0.2">
      <c r="A18" s="4" t="s">
        <v>0</v>
      </c>
      <c r="B18" s="5" t="s">
        <v>1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2</v>
      </c>
    </row>
    <row r="19" spans="1:7" s="6" customFormat="1" x14ac:dyDescent="0.2">
      <c r="A19" s="7">
        <v>1</v>
      </c>
      <c r="B19" s="12">
        <v>45658</v>
      </c>
      <c r="C19" s="9" t="s">
        <v>7</v>
      </c>
      <c r="D19" s="10"/>
      <c r="E19" s="10"/>
      <c r="F19" s="10">
        <v>0</v>
      </c>
      <c r="G19" s="7"/>
    </row>
    <row r="20" spans="1:7" x14ac:dyDescent="0.2">
      <c r="A20" s="11">
        <v>2</v>
      </c>
      <c r="B20" s="12">
        <v>45852</v>
      </c>
      <c r="C20" s="13" t="s">
        <v>118</v>
      </c>
      <c r="D20" s="49">
        <v>3</v>
      </c>
      <c r="E20" s="49"/>
      <c r="F20" s="49">
        <f>F19+D20-E20</f>
        <v>3</v>
      </c>
      <c r="G20" s="11" t="s">
        <v>119</v>
      </c>
    </row>
    <row r="21" spans="1:7" x14ac:dyDescent="0.2">
      <c r="A21" s="11">
        <v>3</v>
      </c>
      <c r="B21" s="12">
        <v>45852</v>
      </c>
      <c r="C21" s="13" t="s">
        <v>11</v>
      </c>
      <c r="D21" s="49"/>
      <c r="E21" s="49">
        <v>3</v>
      </c>
      <c r="F21" s="49">
        <f t="shared" ref="F21:F22" si="1">F20+D21-E21</f>
        <v>0</v>
      </c>
      <c r="G21" s="11" t="s">
        <v>119</v>
      </c>
    </row>
    <row r="22" spans="1:7" x14ac:dyDescent="0.2">
      <c r="A22" s="11">
        <v>4</v>
      </c>
      <c r="B22" s="12"/>
      <c r="C22" s="13"/>
      <c r="D22" s="49"/>
      <c r="E22" s="49"/>
      <c r="F22" s="49">
        <f t="shared" si="1"/>
        <v>0</v>
      </c>
      <c r="G22" s="11"/>
    </row>
    <row r="23" spans="1:7" x14ac:dyDescent="0.2">
      <c r="A23" s="15"/>
      <c r="B23" s="37"/>
      <c r="C23" s="17"/>
      <c r="D23" s="18"/>
      <c r="E23" s="18"/>
      <c r="F23" s="19"/>
      <c r="G23" s="15"/>
    </row>
    <row r="25" spans="1:7" s="70" customFormat="1" ht="15.75" x14ac:dyDescent="0.25">
      <c r="A25" s="64" t="s">
        <v>8</v>
      </c>
      <c r="B25" s="65"/>
      <c r="C25" s="64" t="s">
        <v>85</v>
      </c>
      <c r="D25" s="65"/>
      <c r="E25" s="65"/>
      <c r="F25" s="65"/>
      <c r="G25" s="65"/>
    </row>
    <row r="26" spans="1:7" s="1" customFormat="1" ht="15.75" x14ac:dyDescent="0.25">
      <c r="A26" s="3" t="s">
        <v>9</v>
      </c>
      <c r="B26" s="2"/>
      <c r="C26" s="3" t="s">
        <v>47</v>
      </c>
      <c r="D26" s="2"/>
      <c r="E26" s="2"/>
      <c r="F26" s="2"/>
      <c r="G26" s="2"/>
    </row>
    <row r="28" spans="1:7" s="6" customFormat="1" x14ac:dyDescent="0.2">
      <c r="A28" s="4" t="s">
        <v>0</v>
      </c>
      <c r="B28" s="5" t="s">
        <v>1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2</v>
      </c>
    </row>
    <row r="29" spans="1:7" s="6" customFormat="1" x14ac:dyDescent="0.2">
      <c r="A29" s="7">
        <v>1</v>
      </c>
      <c r="B29" s="75">
        <v>45658</v>
      </c>
      <c r="C29" s="9" t="s">
        <v>7</v>
      </c>
      <c r="D29" s="10"/>
      <c r="E29" s="10"/>
      <c r="F29" s="10">
        <v>0</v>
      </c>
      <c r="G29" s="7"/>
    </row>
    <row r="30" spans="1:7" x14ac:dyDescent="0.2">
      <c r="A30" s="11">
        <v>2</v>
      </c>
      <c r="B30" s="12"/>
      <c r="C30" s="13"/>
      <c r="D30" s="49"/>
      <c r="E30" s="49"/>
      <c r="F30" s="49">
        <f>F29+D30-E30</f>
        <v>0</v>
      </c>
      <c r="G30" s="11"/>
    </row>
    <row r="31" spans="1:7" x14ac:dyDescent="0.2">
      <c r="A31" s="11">
        <v>3</v>
      </c>
      <c r="B31" s="12"/>
      <c r="C31" s="13"/>
      <c r="D31" s="49"/>
      <c r="E31" s="49"/>
      <c r="F31" s="49">
        <f>F30+D31-E31</f>
        <v>0</v>
      </c>
      <c r="G31" s="11"/>
    </row>
    <row r="32" spans="1:7" x14ac:dyDescent="0.2">
      <c r="A32" s="15"/>
      <c r="B32" s="37"/>
      <c r="C32" s="17"/>
      <c r="D32" s="18"/>
      <c r="E32" s="18"/>
      <c r="F32" s="19"/>
      <c r="G32" s="15"/>
    </row>
    <row r="34" spans="1:7" ht="15.75" x14ac:dyDescent="0.25">
      <c r="A34" s="64" t="s">
        <v>8</v>
      </c>
      <c r="B34" s="65"/>
      <c r="C34" s="64" t="s">
        <v>86</v>
      </c>
      <c r="D34" s="65"/>
      <c r="E34" s="65"/>
      <c r="F34" s="65"/>
      <c r="G34" s="65"/>
    </row>
    <row r="35" spans="1:7" ht="15.75" x14ac:dyDescent="0.25">
      <c r="A35" s="3" t="s">
        <v>9</v>
      </c>
      <c r="B35" s="2"/>
      <c r="C35" s="3" t="s">
        <v>47</v>
      </c>
      <c r="D35" s="2"/>
      <c r="E35" s="2"/>
      <c r="F35" s="2"/>
      <c r="G35" s="2"/>
    </row>
    <row r="37" spans="1:7" x14ac:dyDescent="0.2">
      <c r="A37" s="4" t="s">
        <v>0</v>
      </c>
      <c r="B37" s="5" t="s">
        <v>1</v>
      </c>
      <c r="C37" s="4" t="s">
        <v>3</v>
      </c>
      <c r="D37" s="4" t="s">
        <v>4</v>
      </c>
      <c r="E37" s="4" t="s">
        <v>5</v>
      </c>
      <c r="F37" s="4" t="s">
        <v>6</v>
      </c>
      <c r="G37" s="4" t="s">
        <v>2</v>
      </c>
    </row>
    <row r="38" spans="1:7" x14ac:dyDescent="0.2">
      <c r="A38" s="7">
        <v>1</v>
      </c>
      <c r="B38" s="12">
        <v>45658</v>
      </c>
      <c r="C38" s="9" t="s">
        <v>7</v>
      </c>
      <c r="D38" s="10"/>
      <c r="E38" s="10"/>
      <c r="F38" s="10">
        <v>0</v>
      </c>
      <c r="G38" s="7"/>
    </row>
    <row r="39" spans="1:7" x14ac:dyDescent="0.2">
      <c r="A39" s="11">
        <v>2</v>
      </c>
      <c r="B39" s="12"/>
      <c r="C39" s="13"/>
      <c r="D39" s="49"/>
      <c r="E39" s="49"/>
      <c r="F39" s="49">
        <f>F38+D39-E39</f>
        <v>0</v>
      </c>
      <c r="G39" s="11"/>
    </row>
    <row r="40" spans="1:7" x14ac:dyDescent="0.2">
      <c r="A40" s="11">
        <v>3</v>
      </c>
      <c r="B40" s="12"/>
      <c r="C40" s="13"/>
      <c r="D40" s="49"/>
      <c r="E40" s="49"/>
      <c r="F40" s="49">
        <f t="shared" ref="F40:F41" si="2">F39+D40-E40</f>
        <v>0</v>
      </c>
      <c r="G40" s="11"/>
    </row>
    <row r="41" spans="1:7" x14ac:dyDescent="0.2">
      <c r="A41" s="11">
        <v>4</v>
      </c>
      <c r="B41" s="12"/>
      <c r="C41" s="13"/>
      <c r="D41" s="49"/>
      <c r="E41" s="49"/>
      <c r="F41" s="49">
        <f t="shared" si="2"/>
        <v>0</v>
      </c>
      <c r="G41" s="11"/>
    </row>
    <row r="42" spans="1:7" x14ac:dyDescent="0.2">
      <c r="A42" s="15"/>
      <c r="B42" s="37"/>
      <c r="C42" s="17"/>
      <c r="D42" s="18"/>
      <c r="E42" s="18"/>
      <c r="F42" s="19"/>
      <c r="G42" s="15"/>
    </row>
    <row r="44" spans="1:7" ht="15.75" x14ac:dyDescent="0.25">
      <c r="A44" s="64" t="s">
        <v>8</v>
      </c>
      <c r="B44" s="65"/>
      <c r="C44" s="64" t="s">
        <v>87</v>
      </c>
      <c r="D44" s="65"/>
      <c r="E44" s="65"/>
      <c r="F44" s="65"/>
      <c r="G44" s="65"/>
    </row>
    <row r="45" spans="1:7" ht="15.75" x14ac:dyDescent="0.25">
      <c r="A45" s="3" t="s">
        <v>9</v>
      </c>
      <c r="B45" s="2"/>
      <c r="C45" s="3" t="s">
        <v>47</v>
      </c>
      <c r="D45" s="2"/>
      <c r="E45" s="2"/>
      <c r="F45" s="2"/>
      <c r="G45" s="2"/>
    </row>
    <row r="47" spans="1:7" x14ac:dyDescent="0.2">
      <c r="A47" s="4" t="s">
        <v>0</v>
      </c>
      <c r="B47" s="5" t="s">
        <v>1</v>
      </c>
      <c r="C47" s="4" t="s">
        <v>3</v>
      </c>
      <c r="D47" s="4" t="s">
        <v>4</v>
      </c>
      <c r="E47" s="4" t="s">
        <v>5</v>
      </c>
      <c r="F47" s="4" t="s">
        <v>6</v>
      </c>
      <c r="G47" s="4" t="s">
        <v>2</v>
      </c>
    </row>
    <row r="48" spans="1:7" x14ac:dyDescent="0.2">
      <c r="A48" s="7">
        <v>1</v>
      </c>
      <c r="B48" s="12">
        <v>45658</v>
      </c>
      <c r="C48" s="9" t="s">
        <v>7</v>
      </c>
      <c r="D48" s="10"/>
      <c r="E48" s="10"/>
      <c r="F48" s="10">
        <v>0</v>
      </c>
      <c r="G48" s="7"/>
    </row>
    <row r="49" spans="1:7" x14ac:dyDescent="0.2">
      <c r="A49" s="11">
        <v>2</v>
      </c>
      <c r="B49" s="12">
        <v>45852</v>
      </c>
      <c r="C49" s="13" t="s">
        <v>118</v>
      </c>
      <c r="D49" s="49">
        <v>3</v>
      </c>
      <c r="E49" s="49"/>
      <c r="F49" s="49">
        <f>F48+D49-E49</f>
        <v>3</v>
      </c>
      <c r="G49" s="11" t="s">
        <v>119</v>
      </c>
    </row>
    <row r="50" spans="1:7" x14ac:dyDescent="0.2">
      <c r="A50" s="11">
        <v>3</v>
      </c>
      <c r="B50" s="12">
        <v>45852</v>
      </c>
      <c r="C50" s="13" t="s">
        <v>11</v>
      </c>
      <c r="D50" s="49"/>
      <c r="E50" s="49">
        <v>3</v>
      </c>
      <c r="F50" s="49">
        <f t="shared" ref="F50:F51" si="3">F49+D50-E50</f>
        <v>0</v>
      </c>
      <c r="G50" s="11" t="s">
        <v>119</v>
      </c>
    </row>
    <row r="51" spans="1:7" x14ac:dyDescent="0.2">
      <c r="A51" s="11">
        <v>4</v>
      </c>
      <c r="B51" s="12"/>
      <c r="C51" s="13"/>
      <c r="D51" s="49"/>
      <c r="E51" s="49"/>
      <c r="F51" s="49">
        <f t="shared" si="3"/>
        <v>0</v>
      </c>
      <c r="G51" s="11"/>
    </row>
    <row r="52" spans="1:7" x14ac:dyDescent="0.2">
      <c r="A52" s="15"/>
      <c r="B52" s="37"/>
      <c r="C52" s="17"/>
      <c r="D52" s="18"/>
      <c r="E52" s="18"/>
      <c r="F52" s="19"/>
      <c r="G52" s="15"/>
    </row>
    <row r="54" spans="1:7" ht="15.75" x14ac:dyDescent="0.25">
      <c r="A54" s="64" t="s">
        <v>8</v>
      </c>
      <c r="B54" s="65"/>
      <c r="C54" s="64" t="s">
        <v>48</v>
      </c>
      <c r="D54" s="65"/>
      <c r="E54" s="65"/>
      <c r="F54" s="65"/>
      <c r="G54" s="65"/>
    </row>
    <row r="55" spans="1:7" ht="15.75" x14ac:dyDescent="0.25">
      <c r="A55" s="3" t="s">
        <v>9</v>
      </c>
      <c r="B55" s="2"/>
      <c r="C55" s="3" t="s">
        <v>47</v>
      </c>
      <c r="D55" s="2"/>
      <c r="E55" s="2"/>
      <c r="F55" s="2"/>
      <c r="G55" s="2"/>
    </row>
    <row r="57" spans="1:7" x14ac:dyDescent="0.2">
      <c r="A57" s="4" t="s">
        <v>0</v>
      </c>
      <c r="B57" s="5" t="s">
        <v>1</v>
      </c>
      <c r="C57" s="4" t="s">
        <v>3</v>
      </c>
      <c r="D57" s="4" t="s">
        <v>4</v>
      </c>
      <c r="E57" s="4" t="s">
        <v>5</v>
      </c>
      <c r="F57" s="4" t="s">
        <v>6</v>
      </c>
      <c r="G57" s="4" t="s">
        <v>2</v>
      </c>
    </row>
    <row r="58" spans="1:7" x14ac:dyDescent="0.2">
      <c r="A58" s="7">
        <v>1</v>
      </c>
      <c r="B58" s="12">
        <v>45658</v>
      </c>
      <c r="C58" s="9" t="s">
        <v>7</v>
      </c>
      <c r="D58" s="10"/>
      <c r="E58" s="10"/>
      <c r="F58" s="10">
        <v>0</v>
      </c>
      <c r="G58" s="7"/>
    </row>
    <row r="59" spans="1:7" x14ac:dyDescent="0.2">
      <c r="A59" s="11">
        <v>2</v>
      </c>
      <c r="B59" s="12"/>
      <c r="C59" s="13"/>
      <c r="D59" s="49"/>
      <c r="E59" s="49"/>
      <c r="F59" s="49">
        <f>F58+D59-E59</f>
        <v>0</v>
      </c>
      <c r="G59" s="11"/>
    </row>
    <row r="60" spans="1:7" x14ac:dyDescent="0.2">
      <c r="A60" s="11">
        <v>3</v>
      </c>
      <c r="B60" s="12"/>
      <c r="C60" s="13"/>
      <c r="D60" s="49"/>
      <c r="E60" s="49"/>
      <c r="F60" s="49">
        <f t="shared" ref="F60:F61" si="4">F59+D60-E60</f>
        <v>0</v>
      </c>
      <c r="G60" s="11"/>
    </row>
    <row r="61" spans="1:7" x14ac:dyDescent="0.2">
      <c r="A61" s="11">
        <v>4</v>
      </c>
      <c r="B61" s="12"/>
      <c r="C61" s="13"/>
      <c r="D61" s="49"/>
      <c r="E61" s="49"/>
      <c r="F61" s="49">
        <f t="shared" si="4"/>
        <v>0</v>
      </c>
      <c r="G61" s="11"/>
    </row>
    <row r="62" spans="1:7" x14ac:dyDescent="0.2">
      <c r="A62" s="15"/>
      <c r="B62" s="37"/>
      <c r="C62" s="17"/>
      <c r="D62" s="18"/>
      <c r="E62" s="18"/>
      <c r="F62" s="19"/>
      <c r="G62" s="15"/>
    </row>
    <row r="64" spans="1:7" ht="15.75" x14ac:dyDescent="0.25">
      <c r="A64" s="64" t="s">
        <v>8</v>
      </c>
      <c r="B64" s="65"/>
      <c r="C64" s="64" t="s">
        <v>88</v>
      </c>
      <c r="D64" s="65"/>
      <c r="E64" s="65"/>
      <c r="F64" s="65"/>
      <c r="G64" s="65"/>
    </row>
    <row r="65" spans="1:7" ht="15.75" x14ac:dyDescent="0.25">
      <c r="A65" s="3" t="s">
        <v>9</v>
      </c>
      <c r="B65" s="2"/>
      <c r="C65" s="3" t="s">
        <v>47</v>
      </c>
      <c r="D65" s="2"/>
      <c r="E65" s="2"/>
      <c r="F65" s="2"/>
      <c r="G65" s="2"/>
    </row>
    <row r="67" spans="1:7" x14ac:dyDescent="0.2">
      <c r="A67" s="4" t="s">
        <v>0</v>
      </c>
      <c r="B67" s="5" t="s">
        <v>1</v>
      </c>
      <c r="C67" s="4" t="s">
        <v>3</v>
      </c>
      <c r="D67" s="4" t="s">
        <v>4</v>
      </c>
      <c r="E67" s="4" t="s">
        <v>5</v>
      </c>
      <c r="F67" s="4" t="s">
        <v>6</v>
      </c>
      <c r="G67" s="4" t="s">
        <v>2</v>
      </c>
    </row>
    <row r="68" spans="1:7" x14ac:dyDescent="0.2">
      <c r="A68" s="7">
        <v>1</v>
      </c>
      <c r="B68" s="12">
        <v>45658</v>
      </c>
      <c r="C68" s="9" t="s">
        <v>7</v>
      </c>
      <c r="D68" s="10"/>
      <c r="E68" s="10"/>
      <c r="F68" s="10">
        <v>0</v>
      </c>
      <c r="G68" s="7"/>
    </row>
    <row r="69" spans="1:7" x14ac:dyDescent="0.2">
      <c r="A69" s="11">
        <v>2</v>
      </c>
      <c r="B69" s="12">
        <v>45852</v>
      </c>
      <c r="C69" s="13" t="s">
        <v>118</v>
      </c>
      <c r="D69" s="49">
        <v>20</v>
      </c>
      <c r="E69" s="49"/>
      <c r="F69" s="49">
        <f>F68+D69-E69</f>
        <v>20</v>
      </c>
      <c r="G69" s="11" t="s">
        <v>119</v>
      </c>
    </row>
    <row r="70" spans="1:7" x14ac:dyDescent="0.2">
      <c r="A70" s="11">
        <v>3</v>
      </c>
      <c r="B70" s="12">
        <v>45852</v>
      </c>
      <c r="C70" s="13" t="s">
        <v>11</v>
      </c>
      <c r="D70" s="49"/>
      <c r="E70" s="49">
        <v>20</v>
      </c>
      <c r="F70" s="49">
        <f t="shared" ref="F70:F71" si="5">F69+D70-E70</f>
        <v>0</v>
      </c>
      <c r="G70" s="11" t="s">
        <v>119</v>
      </c>
    </row>
    <row r="71" spans="1:7" x14ac:dyDescent="0.2">
      <c r="A71" s="11">
        <v>4</v>
      </c>
      <c r="B71" s="12"/>
      <c r="C71" s="13"/>
      <c r="D71" s="49"/>
      <c r="E71" s="49"/>
      <c r="F71" s="49">
        <f t="shared" si="5"/>
        <v>0</v>
      </c>
      <c r="G71" s="11"/>
    </row>
    <row r="72" spans="1:7" x14ac:dyDescent="0.2">
      <c r="A72" s="15"/>
      <c r="B72" s="37"/>
      <c r="C72" s="17"/>
      <c r="D72" s="18"/>
      <c r="E72" s="18"/>
      <c r="F72" s="19"/>
      <c r="G72" s="15"/>
    </row>
    <row r="74" spans="1:7" ht="15.75" x14ac:dyDescent="0.25">
      <c r="A74" s="64" t="s">
        <v>8</v>
      </c>
      <c r="B74" s="65"/>
      <c r="C74" s="64" t="s">
        <v>89</v>
      </c>
      <c r="D74" s="65"/>
      <c r="E74" s="65"/>
      <c r="F74" s="65"/>
      <c r="G74" s="65"/>
    </row>
    <row r="75" spans="1:7" ht="15.75" x14ac:dyDescent="0.25">
      <c r="A75" s="3" t="s">
        <v>9</v>
      </c>
      <c r="B75" s="2"/>
      <c r="C75" s="3" t="s">
        <v>47</v>
      </c>
      <c r="D75" s="2"/>
      <c r="E75" s="2"/>
      <c r="F75" s="2"/>
      <c r="G75" s="2"/>
    </row>
    <row r="77" spans="1:7" x14ac:dyDescent="0.2">
      <c r="A77" s="4" t="s">
        <v>0</v>
      </c>
      <c r="B77" s="5" t="s">
        <v>1</v>
      </c>
      <c r="C77" s="4" t="s">
        <v>3</v>
      </c>
      <c r="D77" s="4" t="s">
        <v>4</v>
      </c>
      <c r="E77" s="4" t="s">
        <v>5</v>
      </c>
      <c r="F77" s="4" t="s">
        <v>6</v>
      </c>
      <c r="G77" s="4" t="s">
        <v>2</v>
      </c>
    </row>
    <row r="78" spans="1:7" x14ac:dyDescent="0.2">
      <c r="A78" s="7">
        <v>1</v>
      </c>
      <c r="B78" s="12">
        <v>45658</v>
      </c>
      <c r="C78" s="9" t="s">
        <v>7</v>
      </c>
      <c r="D78" s="10"/>
      <c r="E78" s="10"/>
      <c r="F78" s="10">
        <v>0</v>
      </c>
      <c r="G78" s="7"/>
    </row>
    <row r="79" spans="1:7" x14ac:dyDescent="0.2">
      <c r="A79" s="11">
        <v>2</v>
      </c>
      <c r="B79" s="12">
        <v>45852</v>
      </c>
      <c r="C79" s="13" t="s">
        <v>118</v>
      </c>
      <c r="D79" s="49">
        <v>12</v>
      </c>
      <c r="E79" s="49"/>
      <c r="F79" s="49">
        <f>F78+D79-E79</f>
        <v>12</v>
      </c>
      <c r="G79" s="11" t="s">
        <v>119</v>
      </c>
    </row>
    <row r="80" spans="1:7" x14ac:dyDescent="0.2">
      <c r="A80" s="11">
        <v>3</v>
      </c>
      <c r="B80" s="12">
        <v>45852</v>
      </c>
      <c r="C80" s="13" t="s">
        <v>11</v>
      </c>
      <c r="D80" s="49"/>
      <c r="E80" s="49">
        <v>12</v>
      </c>
      <c r="F80" s="49">
        <f t="shared" ref="F80:F81" si="6">F79+D80-E80</f>
        <v>0</v>
      </c>
      <c r="G80" s="11" t="s">
        <v>119</v>
      </c>
    </row>
    <row r="81" spans="1:7" x14ac:dyDescent="0.2">
      <c r="A81" s="11">
        <v>4</v>
      </c>
      <c r="B81" s="12"/>
      <c r="C81" s="13"/>
      <c r="D81" s="49"/>
      <c r="E81" s="49"/>
      <c r="F81" s="49">
        <f t="shared" si="6"/>
        <v>0</v>
      </c>
      <c r="G81" s="11"/>
    </row>
    <row r="82" spans="1:7" x14ac:dyDescent="0.2">
      <c r="A82" s="15"/>
      <c r="B82" s="37"/>
      <c r="C82" s="17"/>
      <c r="D82" s="18"/>
      <c r="E82" s="18"/>
      <c r="F82" s="19"/>
      <c r="G82" s="15"/>
    </row>
    <row r="84" spans="1:7" ht="15.75" x14ac:dyDescent="0.25">
      <c r="A84" s="64" t="s">
        <v>8</v>
      </c>
      <c r="B84" s="65"/>
      <c r="C84" s="64" t="s">
        <v>139</v>
      </c>
      <c r="D84" s="65"/>
      <c r="E84" s="65"/>
      <c r="F84" s="65"/>
      <c r="G84" s="65"/>
    </row>
    <row r="85" spans="1:7" ht="15.75" x14ac:dyDescent="0.25">
      <c r="A85" s="3" t="s">
        <v>9</v>
      </c>
      <c r="B85" s="2"/>
      <c r="C85" s="3" t="s">
        <v>47</v>
      </c>
      <c r="D85" s="2"/>
      <c r="E85" s="2"/>
      <c r="F85" s="2"/>
      <c r="G85" s="2"/>
    </row>
    <row r="87" spans="1:7" x14ac:dyDescent="0.2">
      <c r="A87" s="4" t="s">
        <v>0</v>
      </c>
      <c r="B87" s="5" t="s">
        <v>1</v>
      </c>
      <c r="C87" s="4" t="s">
        <v>3</v>
      </c>
      <c r="D87" s="4" t="s">
        <v>4</v>
      </c>
      <c r="E87" s="4" t="s">
        <v>5</v>
      </c>
      <c r="F87" s="4" t="s">
        <v>6</v>
      </c>
      <c r="G87" s="4" t="s">
        <v>2</v>
      </c>
    </row>
    <row r="88" spans="1:7" x14ac:dyDescent="0.2">
      <c r="A88" s="7">
        <v>1</v>
      </c>
      <c r="B88" s="12">
        <v>45658</v>
      </c>
      <c r="C88" s="9" t="s">
        <v>7</v>
      </c>
      <c r="D88" s="10"/>
      <c r="E88" s="10"/>
      <c r="F88" s="10">
        <v>0</v>
      </c>
      <c r="G88" s="7"/>
    </row>
    <row r="89" spans="1:7" x14ac:dyDescent="0.2">
      <c r="A89" s="11">
        <v>2</v>
      </c>
      <c r="B89" s="12">
        <v>45852</v>
      </c>
      <c r="C89" s="13" t="s">
        <v>118</v>
      </c>
      <c r="D89" s="49">
        <v>6</v>
      </c>
      <c r="E89" s="49"/>
      <c r="F89" s="49">
        <f>F88+D89-E89</f>
        <v>6</v>
      </c>
      <c r="G89" s="11" t="s">
        <v>119</v>
      </c>
    </row>
    <row r="90" spans="1:7" x14ac:dyDescent="0.2">
      <c r="A90" s="11">
        <v>3</v>
      </c>
      <c r="B90" s="12">
        <v>45852</v>
      </c>
      <c r="C90" s="13" t="s">
        <v>11</v>
      </c>
      <c r="D90" s="49"/>
      <c r="E90" s="49">
        <v>6</v>
      </c>
      <c r="F90" s="49">
        <f t="shared" ref="F90:F91" si="7">F89+D90-E90</f>
        <v>0</v>
      </c>
      <c r="G90" s="11" t="s">
        <v>119</v>
      </c>
    </row>
    <row r="91" spans="1:7" x14ac:dyDescent="0.2">
      <c r="A91" s="11">
        <v>4</v>
      </c>
      <c r="B91" s="12"/>
      <c r="C91" s="13"/>
      <c r="D91" s="49"/>
      <c r="E91" s="49"/>
      <c r="F91" s="49">
        <f t="shared" si="7"/>
        <v>0</v>
      </c>
      <c r="G91" s="11"/>
    </row>
    <row r="92" spans="1:7" x14ac:dyDescent="0.2">
      <c r="A92" s="15"/>
      <c r="B92" s="37"/>
      <c r="C92" s="17"/>
      <c r="D92" s="18"/>
      <c r="E92" s="18"/>
      <c r="F92" s="19"/>
      <c r="G92" s="15"/>
    </row>
    <row r="94" spans="1:7" ht="15.75" x14ac:dyDescent="0.25">
      <c r="A94" s="64" t="s">
        <v>8</v>
      </c>
      <c r="B94" s="65"/>
      <c r="C94" s="64" t="s">
        <v>122</v>
      </c>
      <c r="D94" s="65"/>
      <c r="E94" s="65"/>
      <c r="F94" s="65"/>
      <c r="G94" s="65"/>
    </row>
    <row r="95" spans="1:7" ht="15.75" x14ac:dyDescent="0.25">
      <c r="A95" s="3" t="s">
        <v>9</v>
      </c>
      <c r="B95" s="2"/>
      <c r="C95" s="3" t="s">
        <v>47</v>
      </c>
      <c r="D95" s="2"/>
      <c r="E95" s="2"/>
      <c r="F95" s="2"/>
      <c r="G95" s="2"/>
    </row>
    <row r="97" spans="1:7" x14ac:dyDescent="0.2">
      <c r="A97" s="4" t="s">
        <v>0</v>
      </c>
      <c r="B97" s="5" t="s">
        <v>1</v>
      </c>
      <c r="C97" s="4" t="s">
        <v>3</v>
      </c>
      <c r="D97" s="4" t="s">
        <v>4</v>
      </c>
      <c r="E97" s="4" t="s">
        <v>5</v>
      </c>
      <c r="F97" s="4" t="s">
        <v>6</v>
      </c>
      <c r="G97" s="4" t="s">
        <v>2</v>
      </c>
    </row>
    <row r="98" spans="1:7" x14ac:dyDescent="0.2">
      <c r="A98" s="7">
        <v>1</v>
      </c>
      <c r="B98" s="12">
        <v>45658</v>
      </c>
      <c r="C98" s="9" t="s">
        <v>7</v>
      </c>
      <c r="D98" s="10"/>
      <c r="E98" s="10"/>
      <c r="F98" s="10">
        <v>0</v>
      </c>
      <c r="G98" s="7"/>
    </row>
    <row r="99" spans="1:7" x14ac:dyDescent="0.2">
      <c r="A99" s="11">
        <v>2</v>
      </c>
      <c r="B99" s="12">
        <v>45852</v>
      </c>
      <c r="C99" s="13" t="s">
        <v>118</v>
      </c>
      <c r="D99" s="49">
        <v>12</v>
      </c>
      <c r="E99" s="49"/>
      <c r="F99" s="49">
        <f>F98+D99-E99</f>
        <v>12</v>
      </c>
      <c r="G99" s="11" t="s">
        <v>119</v>
      </c>
    </row>
    <row r="100" spans="1:7" x14ac:dyDescent="0.2">
      <c r="A100" s="11">
        <v>3</v>
      </c>
      <c r="B100" s="12">
        <v>45852</v>
      </c>
      <c r="C100" s="13" t="s">
        <v>11</v>
      </c>
      <c r="D100" s="49"/>
      <c r="E100" s="49">
        <v>12</v>
      </c>
      <c r="F100" s="49">
        <f t="shared" ref="F100:F101" si="8">F99+D100-E100</f>
        <v>0</v>
      </c>
      <c r="G100" s="11" t="s">
        <v>119</v>
      </c>
    </row>
    <row r="101" spans="1:7" x14ac:dyDescent="0.2">
      <c r="A101" s="11">
        <v>4</v>
      </c>
      <c r="B101" s="12"/>
      <c r="C101" s="13"/>
      <c r="D101" s="49"/>
      <c r="E101" s="49"/>
      <c r="F101" s="49">
        <f t="shared" si="8"/>
        <v>0</v>
      </c>
      <c r="G101" s="11"/>
    </row>
    <row r="102" spans="1:7" x14ac:dyDescent="0.2">
      <c r="A102" s="15"/>
      <c r="B102" s="37"/>
      <c r="C102" s="17"/>
      <c r="D102" s="18"/>
      <c r="E102" s="18"/>
      <c r="F102" s="19"/>
      <c r="G102" s="15"/>
    </row>
    <row r="104" spans="1:7" ht="15.75" x14ac:dyDescent="0.25">
      <c r="A104" s="64" t="s">
        <v>8</v>
      </c>
      <c r="B104" s="65"/>
      <c r="C104" s="64" t="s">
        <v>90</v>
      </c>
      <c r="D104" s="65"/>
      <c r="E104" s="65"/>
      <c r="F104" s="65"/>
      <c r="G104" s="65"/>
    </row>
    <row r="105" spans="1:7" ht="15.75" x14ac:dyDescent="0.25">
      <c r="A105" s="3" t="s">
        <v>9</v>
      </c>
      <c r="B105" s="2"/>
      <c r="C105" s="3" t="s">
        <v>47</v>
      </c>
      <c r="D105" s="2"/>
      <c r="E105" s="2"/>
      <c r="F105" s="2"/>
      <c r="G105" s="2"/>
    </row>
    <row r="107" spans="1:7" x14ac:dyDescent="0.2">
      <c r="A107" s="4" t="s">
        <v>0</v>
      </c>
      <c r="B107" s="5" t="s">
        <v>1</v>
      </c>
      <c r="C107" s="4" t="s">
        <v>3</v>
      </c>
      <c r="D107" s="4" t="s">
        <v>4</v>
      </c>
      <c r="E107" s="4" t="s">
        <v>5</v>
      </c>
      <c r="F107" s="4" t="s">
        <v>6</v>
      </c>
      <c r="G107" s="4" t="s">
        <v>2</v>
      </c>
    </row>
    <row r="108" spans="1:7" x14ac:dyDescent="0.2">
      <c r="A108" s="7">
        <v>1</v>
      </c>
      <c r="B108" s="12">
        <v>45658</v>
      </c>
      <c r="C108" s="9" t="s">
        <v>7</v>
      </c>
      <c r="D108" s="10"/>
      <c r="E108" s="10"/>
      <c r="F108" s="10">
        <v>0</v>
      </c>
      <c r="G108" s="7"/>
    </row>
    <row r="109" spans="1:7" x14ac:dyDescent="0.2">
      <c r="A109" s="11">
        <v>2</v>
      </c>
      <c r="B109" s="12">
        <v>45852</v>
      </c>
      <c r="C109" s="13" t="s">
        <v>118</v>
      </c>
      <c r="D109" s="49">
        <v>4</v>
      </c>
      <c r="E109" s="49"/>
      <c r="F109" s="49">
        <f>F108+D109-E109</f>
        <v>4</v>
      </c>
      <c r="G109" s="11" t="s">
        <v>119</v>
      </c>
    </row>
    <row r="110" spans="1:7" x14ac:dyDescent="0.2">
      <c r="A110" s="11">
        <v>3</v>
      </c>
      <c r="B110" s="12">
        <v>45852</v>
      </c>
      <c r="C110" s="13" t="s">
        <v>11</v>
      </c>
      <c r="D110" s="49"/>
      <c r="E110" s="49">
        <v>4</v>
      </c>
      <c r="F110" s="49">
        <f t="shared" ref="F110:F111" si="9">F109+D110-E110</f>
        <v>0</v>
      </c>
      <c r="G110" s="11" t="s">
        <v>119</v>
      </c>
    </row>
    <row r="111" spans="1:7" x14ac:dyDescent="0.2">
      <c r="A111" s="11">
        <v>4</v>
      </c>
      <c r="B111" s="12"/>
      <c r="C111" s="13"/>
      <c r="D111" s="49"/>
      <c r="E111" s="49"/>
      <c r="F111" s="49">
        <f t="shared" si="9"/>
        <v>0</v>
      </c>
      <c r="G111" s="11"/>
    </row>
    <row r="112" spans="1:7" x14ac:dyDescent="0.2">
      <c r="A112" s="15"/>
      <c r="B112" s="37"/>
      <c r="C112" s="17"/>
      <c r="D112" s="18"/>
      <c r="E112" s="18"/>
      <c r="F112" s="19"/>
      <c r="G112" s="15"/>
    </row>
    <row r="114" spans="1:7" ht="15.75" x14ac:dyDescent="0.25">
      <c r="A114" s="64" t="s">
        <v>8</v>
      </c>
      <c r="B114" s="65"/>
      <c r="C114" s="64" t="s">
        <v>91</v>
      </c>
      <c r="D114" s="65"/>
      <c r="E114" s="65"/>
      <c r="F114" s="65"/>
      <c r="G114" s="65"/>
    </row>
    <row r="115" spans="1:7" ht="15.75" x14ac:dyDescent="0.25">
      <c r="A115" s="3" t="s">
        <v>9</v>
      </c>
      <c r="B115" s="2"/>
      <c r="C115" s="3" t="s">
        <v>47</v>
      </c>
      <c r="D115" s="2"/>
      <c r="E115" s="2"/>
      <c r="F115" s="2"/>
      <c r="G115" s="2"/>
    </row>
    <row r="117" spans="1:7" x14ac:dyDescent="0.2">
      <c r="A117" s="4" t="s">
        <v>0</v>
      </c>
      <c r="B117" s="5" t="s">
        <v>1</v>
      </c>
      <c r="C117" s="4" t="s">
        <v>3</v>
      </c>
      <c r="D117" s="4" t="s">
        <v>4</v>
      </c>
      <c r="E117" s="4" t="s">
        <v>5</v>
      </c>
      <c r="F117" s="4" t="s">
        <v>6</v>
      </c>
      <c r="G117" s="4" t="s">
        <v>2</v>
      </c>
    </row>
    <row r="118" spans="1:7" x14ac:dyDescent="0.2">
      <c r="A118" s="7">
        <v>1</v>
      </c>
      <c r="B118" s="12">
        <v>45658</v>
      </c>
      <c r="C118" s="9" t="s">
        <v>7</v>
      </c>
      <c r="D118" s="10"/>
      <c r="E118" s="10"/>
      <c r="F118" s="10">
        <v>0</v>
      </c>
      <c r="G118" s="7"/>
    </row>
    <row r="119" spans="1:7" x14ac:dyDescent="0.2">
      <c r="A119" s="11">
        <v>2</v>
      </c>
      <c r="B119" s="12">
        <v>45852</v>
      </c>
      <c r="C119" s="13" t="s">
        <v>118</v>
      </c>
      <c r="D119" s="49">
        <v>2</v>
      </c>
      <c r="E119" s="49"/>
      <c r="F119" s="49">
        <f>F118+D119-E119</f>
        <v>2</v>
      </c>
      <c r="G119" s="11" t="s">
        <v>119</v>
      </c>
    </row>
    <row r="120" spans="1:7" x14ac:dyDescent="0.2">
      <c r="A120" s="11">
        <v>3</v>
      </c>
      <c r="B120" s="12">
        <v>45852</v>
      </c>
      <c r="C120" s="13" t="s">
        <v>11</v>
      </c>
      <c r="D120" s="49"/>
      <c r="E120" s="49">
        <v>2</v>
      </c>
      <c r="F120" s="49">
        <f t="shared" ref="F120:F121" si="10">F119+D120-E120</f>
        <v>0</v>
      </c>
      <c r="G120" s="11" t="s">
        <v>119</v>
      </c>
    </row>
    <row r="121" spans="1:7" x14ac:dyDescent="0.2">
      <c r="A121" s="11">
        <v>4</v>
      </c>
      <c r="B121" s="12"/>
      <c r="C121" s="13"/>
      <c r="D121" s="49"/>
      <c r="E121" s="49"/>
      <c r="F121" s="49">
        <f t="shared" si="10"/>
        <v>0</v>
      </c>
      <c r="G121" s="11"/>
    </row>
    <row r="122" spans="1:7" x14ac:dyDescent="0.2">
      <c r="A122" s="15"/>
      <c r="B122" s="37"/>
      <c r="C122" s="17"/>
      <c r="D122" s="18"/>
      <c r="E122" s="18"/>
      <c r="F122" s="19"/>
      <c r="G122" s="15"/>
    </row>
    <row r="124" spans="1:7" ht="15.75" x14ac:dyDescent="0.25">
      <c r="A124" s="64" t="s">
        <v>8</v>
      </c>
      <c r="B124" s="65"/>
      <c r="C124" s="64" t="s">
        <v>92</v>
      </c>
      <c r="D124" s="65"/>
      <c r="E124" s="65"/>
      <c r="F124" s="65"/>
      <c r="G124" s="65"/>
    </row>
    <row r="125" spans="1:7" ht="15.75" x14ac:dyDescent="0.25">
      <c r="A125" s="3" t="s">
        <v>9</v>
      </c>
      <c r="B125" s="2"/>
      <c r="C125" s="3" t="s">
        <v>47</v>
      </c>
      <c r="D125" s="2"/>
      <c r="E125" s="2"/>
      <c r="F125" s="2"/>
      <c r="G125" s="2"/>
    </row>
    <row r="127" spans="1:7" x14ac:dyDescent="0.2">
      <c r="A127" s="4" t="s">
        <v>0</v>
      </c>
      <c r="B127" s="5" t="s">
        <v>1</v>
      </c>
      <c r="C127" s="4" t="s">
        <v>3</v>
      </c>
      <c r="D127" s="4" t="s">
        <v>4</v>
      </c>
      <c r="E127" s="4" t="s">
        <v>5</v>
      </c>
      <c r="F127" s="4" t="s">
        <v>6</v>
      </c>
      <c r="G127" s="4" t="s">
        <v>2</v>
      </c>
    </row>
    <row r="128" spans="1:7" x14ac:dyDescent="0.2">
      <c r="A128" s="7">
        <v>1</v>
      </c>
      <c r="B128" s="75">
        <v>45658</v>
      </c>
      <c r="C128" s="9" t="s">
        <v>7</v>
      </c>
      <c r="D128" s="10"/>
      <c r="E128" s="10"/>
      <c r="F128" s="10">
        <v>0</v>
      </c>
      <c r="G128" s="7"/>
    </row>
    <row r="129" spans="1:7" x14ac:dyDescent="0.2">
      <c r="A129" s="11">
        <v>2</v>
      </c>
      <c r="B129" s="12"/>
      <c r="C129" s="13"/>
      <c r="D129" s="49"/>
      <c r="E129" s="49"/>
      <c r="F129" s="49">
        <f>F128+D129-E129</f>
        <v>0</v>
      </c>
      <c r="G129" s="11"/>
    </row>
    <row r="130" spans="1:7" x14ac:dyDescent="0.2">
      <c r="A130" s="11">
        <v>3</v>
      </c>
      <c r="B130" s="12"/>
      <c r="C130" s="13"/>
      <c r="D130" s="49"/>
      <c r="E130" s="49"/>
      <c r="F130" s="49">
        <f>F129+D130-E130</f>
        <v>0</v>
      </c>
      <c r="G130" s="11"/>
    </row>
    <row r="131" spans="1:7" x14ac:dyDescent="0.2">
      <c r="A131" s="15"/>
      <c r="B131" s="37"/>
      <c r="C131" s="17"/>
      <c r="D131" s="18"/>
      <c r="E131" s="18"/>
      <c r="F131" s="19"/>
      <c r="G131" s="15"/>
    </row>
    <row r="133" spans="1:7" ht="15.75" x14ac:dyDescent="0.25">
      <c r="A133" s="64" t="s">
        <v>8</v>
      </c>
      <c r="B133" s="65"/>
      <c r="C133" s="64" t="s">
        <v>120</v>
      </c>
      <c r="D133" s="65"/>
      <c r="E133" s="65"/>
      <c r="F133" s="65"/>
      <c r="G133" s="65"/>
    </row>
    <row r="134" spans="1:7" ht="15.75" x14ac:dyDescent="0.25">
      <c r="A134" s="3" t="s">
        <v>9</v>
      </c>
      <c r="B134" s="2"/>
      <c r="C134" s="3" t="s">
        <v>47</v>
      </c>
      <c r="D134" s="2"/>
      <c r="E134" s="2"/>
      <c r="F134" s="2"/>
      <c r="G134" s="2"/>
    </row>
    <row r="136" spans="1:7" x14ac:dyDescent="0.2">
      <c r="A136" s="4" t="s">
        <v>0</v>
      </c>
      <c r="B136" s="5" t="s">
        <v>1</v>
      </c>
      <c r="C136" s="4" t="s">
        <v>3</v>
      </c>
      <c r="D136" s="4" t="s">
        <v>4</v>
      </c>
      <c r="E136" s="4" t="s">
        <v>5</v>
      </c>
      <c r="F136" s="4" t="s">
        <v>6</v>
      </c>
      <c r="G136" s="4" t="s">
        <v>2</v>
      </c>
    </row>
    <row r="137" spans="1:7" x14ac:dyDescent="0.2">
      <c r="A137" s="7">
        <v>1</v>
      </c>
      <c r="B137" s="12">
        <v>45658</v>
      </c>
      <c r="C137" s="9" t="s">
        <v>7</v>
      </c>
      <c r="D137" s="10"/>
      <c r="E137" s="10"/>
      <c r="F137" s="10">
        <v>0</v>
      </c>
      <c r="G137" s="7"/>
    </row>
    <row r="138" spans="1:7" x14ac:dyDescent="0.2">
      <c r="A138" s="11">
        <v>2</v>
      </c>
      <c r="B138" s="12">
        <v>45852</v>
      </c>
      <c r="C138" s="13" t="s">
        <v>118</v>
      </c>
      <c r="D138" s="49">
        <v>6</v>
      </c>
      <c r="E138" s="49"/>
      <c r="F138" s="49">
        <f>F137+D138-E138</f>
        <v>6</v>
      </c>
      <c r="G138" s="11" t="s">
        <v>119</v>
      </c>
    </row>
    <row r="139" spans="1:7" x14ac:dyDescent="0.2">
      <c r="A139" s="11">
        <v>3</v>
      </c>
      <c r="B139" s="12">
        <v>45852</v>
      </c>
      <c r="C139" s="13" t="s">
        <v>11</v>
      </c>
      <c r="D139" s="49"/>
      <c r="E139" s="49">
        <v>6</v>
      </c>
      <c r="F139" s="49">
        <f t="shared" ref="F139:F140" si="11">F138+D139-E139</f>
        <v>0</v>
      </c>
      <c r="G139" s="11" t="s">
        <v>119</v>
      </c>
    </row>
    <row r="140" spans="1:7" x14ac:dyDescent="0.2">
      <c r="A140" s="11">
        <v>4</v>
      </c>
      <c r="B140" s="12"/>
      <c r="C140" s="13"/>
      <c r="D140" s="49"/>
      <c r="E140" s="49"/>
      <c r="F140" s="49">
        <f t="shared" si="11"/>
        <v>0</v>
      </c>
      <c r="G140" s="11"/>
    </row>
    <row r="141" spans="1:7" x14ac:dyDescent="0.2">
      <c r="A141" s="15"/>
      <c r="B141" s="37"/>
      <c r="C141" s="17"/>
      <c r="D141" s="18"/>
      <c r="E141" s="18"/>
      <c r="F141" s="19"/>
      <c r="G141" s="15"/>
    </row>
    <row r="143" spans="1:7" ht="15.75" x14ac:dyDescent="0.25">
      <c r="A143" s="64" t="s">
        <v>8</v>
      </c>
      <c r="B143" s="65"/>
      <c r="C143" s="64" t="s">
        <v>121</v>
      </c>
      <c r="D143" s="65"/>
      <c r="E143" s="65"/>
      <c r="F143" s="65"/>
      <c r="G143" s="65"/>
    </row>
    <row r="144" spans="1:7" ht="15.75" x14ac:dyDescent="0.25">
      <c r="A144" s="3" t="s">
        <v>9</v>
      </c>
      <c r="B144" s="2"/>
      <c r="C144" s="3" t="s">
        <v>47</v>
      </c>
      <c r="D144" s="2"/>
      <c r="E144" s="2"/>
      <c r="F144" s="2"/>
      <c r="G144" s="2"/>
    </row>
    <row r="146" spans="1:7" x14ac:dyDescent="0.2">
      <c r="A146" s="4" t="s">
        <v>0</v>
      </c>
      <c r="B146" s="5" t="s">
        <v>1</v>
      </c>
      <c r="C146" s="4" t="s">
        <v>3</v>
      </c>
      <c r="D146" s="4" t="s">
        <v>4</v>
      </c>
      <c r="E146" s="4" t="s">
        <v>5</v>
      </c>
      <c r="F146" s="4" t="s">
        <v>6</v>
      </c>
      <c r="G146" s="4" t="s">
        <v>2</v>
      </c>
    </row>
    <row r="147" spans="1:7" x14ac:dyDescent="0.2">
      <c r="A147" s="7">
        <v>1</v>
      </c>
      <c r="B147" s="12">
        <v>45658</v>
      </c>
      <c r="C147" s="9" t="s">
        <v>7</v>
      </c>
      <c r="D147" s="10"/>
      <c r="E147" s="10"/>
      <c r="F147" s="10">
        <v>0</v>
      </c>
      <c r="G147" s="7"/>
    </row>
    <row r="148" spans="1:7" x14ac:dyDescent="0.2">
      <c r="A148" s="11">
        <v>2</v>
      </c>
      <c r="B148" s="12">
        <v>45852</v>
      </c>
      <c r="C148" s="13" t="s">
        <v>118</v>
      </c>
      <c r="D148" s="49">
        <v>5</v>
      </c>
      <c r="E148" s="49"/>
      <c r="F148" s="49">
        <f>F147+D148-E148</f>
        <v>5</v>
      </c>
      <c r="G148" s="11" t="s">
        <v>119</v>
      </c>
    </row>
    <row r="149" spans="1:7" x14ac:dyDescent="0.2">
      <c r="A149" s="11">
        <v>3</v>
      </c>
      <c r="B149" s="12">
        <v>45852</v>
      </c>
      <c r="C149" s="13" t="s">
        <v>11</v>
      </c>
      <c r="D149" s="49"/>
      <c r="E149" s="49">
        <v>5</v>
      </c>
      <c r="F149" s="49">
        <f t="shared" ref="F149:F150" si="12">F148+D149-E149</f>
        <v>0</v>
      </c>
      <c r="G149" s="11" t="s">
        <v>119</v>
      </c>
    </row>
    <row r="150" spans="1:7" x14ac:dyDescent="0.2">
      <c r="A150" s="11">
        <v>4</v>
      </c>
      <c r="B150" s="12"/>
      <c r="C150" s="13"/>
      <c r="D150" s="49"/>
      <c r="E150" s="49"/>
      <c r="F150" s="49">
        <f t="shared" si="12"/>
        <v>0</v>
      </c>
      <c r="G150" s="11"/>
    </row>
    <row r="151" spans="1:7" x14ac:dyDescent="0.2">
      <c r="A151" s="15"/>
      <c r="B151" s="37"/>
      <c r="C151" s="17"/>
      <c r="D151" s="18"/>
      <c r="E151" s="18"/>
      <c r="F151" s="19"/>
      <c r="G151" s="15"/>
    </row>
    <row r="153" spans="1:7" ht="15.75" x14ac:dyDescent="0.25">
      <c r="A153" s="64" t="s">
        <v>8</v>
      </c>
      <c r="B153" s="65"/>
      <c r="C153" s="64" t="s">
        <v>123</v>
      </c>
      <c r="D153" s="65"/>
      <c r="E153" s="65"/>
      <c r="F153" s="65"/>
      <c r="G153" s="65"/>
    </row>
    <row r="154" spans="1:7" ht="15.75" x14ac:dyDescent="0.25">
      <c r="A154" s="3" t="s">
        <v>9</v>
      </c>
      <c r="B154" s="2"/>
      <c r="C154" s="3" t="s">
        <v>47</v>
      </c>
      <c r="D154" s="2"/>
      <c r="E154" s="2"/>
      <c r="F154" s="2"/>
      <c r="G154" s="2"/>
    </row>
    <row r="156" spans="1:7" x14ac:dyDescent="0.2">
      <c r="A156" s="4" t="s">
        <v>0</v>
      </c>
      <c r="B156" s="5" t="s">
        <v>1</v>
      </c>
      <c r="C156" s="4" t="s">
        <v>3</v>
      </c>
      <c r="D156" s="4" t="s">
        <v>4</v>
      </c>
      <c r="E156" s="4" t="s">
        <v>5</v>
      </c>
      <c r="F156" s="4" t="s">
        <v>6</v>
      </c>
      <c r="G156" s="4" t="s">
        <v>2</v>
      </c>
    </row>
    <row r="157" spans="1:7" x14ac:dyDescent="0.2">
      <c r="A157" s="7">
        <v>1</v>
      </c>
      <c r="B157" s="12">
        <v>45658</v>
      </c>
      <c r="C157" s="9" t="s">
        <v>7</v>
      </c>
      <c r="D157" s="10"/>
      <c r="E157" s="10"/>
      <c r="F157" s="10">
        <v>0</v>
      </c>
      <c r="G157" s="7"/>
    </row>
    <row r="158" spans="1:7" x14ac:dyDescent="0.2">
      <c r="A158" s="11">
        <v>2</v>
      </c>
      <c r="B158" s="12">
        <v>45852</v>
      </c>
      <c r="C158" s="13" t="s">
        <v>118</v>
      </c>
      <c r="D158" s="49">
        <v>2</v>
      </c>
      <c r="E158" s="49"/>
      <c r="F158" s="49">
        <f>F157+D158-E158</f>
        <v>2</v>
      </c>
      <c r="G158" s="11" t="s">
        <v>119</v>
      </c>
    </row>
    <row r="159" spans="1:7" x14ac:dyDescent="0.2">
      <c r="A159" s="11">
        <v>3</v>
      </c>
      <c r="B159" s="12">
        <v>45852</v>
      </c>
      <c r="C159" s="13" t="s">
        <v>11</v>
      </c>
      <c r="D159" s="49"/>
      <c r="E159" s="49">
        <v>2</v>
      </c>
      <c r="F159" s="49">
        <f t="shared" ref="F159:F160" si="13">F158+D159-E159</f>
        <v>0</v>
      </c>
      <c r="G159" s="11" t="s">
        <v>119</v>
      </c>
    </row>
    <row r="160" spans="1:7" x14ac:dyDescent="0.2">
      <c r="A160" s="11">
        <v>4</v>
      </c>
      <c r="B160" s="12"/>
      <c r="C160" s="13"/>
      <c r="D160" s="49"/>
      <c r="E160" s="49"/>
      <c r="F160" s="49">
        <f t="shared" si="13"/>
        <v>0</v>
      </c>
      <c r="G160" s="11"/>
    </row>
    <row r="161" spans="1:7" x14ac:dyDescent="0.2">
      <c r="A161" s="15"/>
      <c r="B161" s="37"/>
      <c r="C161" s="17"/>
      <c r="D161" s="18"/>
      <c r="E161" s="18"/>
      <c r="F161" s="19"/>
      <c r="G161" s="15"/>
    </row>
    <row r="163" spans="1:7" ht="15.75" x14ac:dyDescent="0.25">
      <c r="A163" s="64" t="s">
        <v>8</v>
      </c>
      <c r="B163" s="65"/>
      <c r="C163" s="64" t="s">
        <v>124</v>
      </c>
      <c r="D163" s="65"/>
      <c r="E163" s="65"/>
      <c r="F163" s="65"/>
      <c r="G163" s="65"/>
    </row>
    <row r="164" spans="1:7" ht="15.75" x14ac:dyDescent="0.25">
      <c r="A164" s="3" t="s">
        <v>9</v>
      </c>
      <c r="B164" s="2"/>
      <c r="C164" s="3" t="s">
        <v>47</v>
      </c>
      <c r="D164" s="2"/>
      <c r="E164" s="2"/>
      <c r="F164" s="2"/>
      <c r="G164" s="2"/>
    </row>
    <row r="166" spans="1:7" x14ac:dyDescent="0.2">
      <c r="A166" s="4" t="s">
        <v>0</v>
      </c>
      <c r="B166" s="5" t="s">
        <v>1</v>
      </c>
      <c r="C166" s="4" t="s">
        <v>3</v>
      </c>
      <c r="D166" s="4" t="s">
        <v>4</v>
      </c>
      <c r="E166" s="4" t="s">
        <v>5</v>
      </c>
      <c r="F166" s="4" t="s">
        <v>6</v>
      </c>
      <c r="G166" s="4" t="s">
        <v>2</v>
      </c>
    </row>
    <row r="167" spans="1:7" x14ac:dyDescent="0.2">
      <c r="A167" s="7">
        <v>1</v>
      </c>
      <c r="B167" s="12">
        <v>45658</v>
      </c>
      <c r="C167" s="9" t="s">
        <v>7</v>
      </c>
      <c r="D167" s="10"/>
      <c r="E167" s="10"/>
      <c r="F167" s="10">
        <v>0</v>
      </c>
      <c r="G167" s="7"/>
    </row>
    <row r="168" spans="1:7" x14ac:dyDescent="0.2">
      <c r="A168" s="11">
        <v>2</v>
      </c>
      <c r="B168" s="12">
        <v>45852</v>
      </c>
      <c r="C168" s="13" t="s">
        <v>118</v>
      </c>
      <c r="D168" s="49">
        <v>1</v>
      </c>
      <c r="E168" s="49"/>
      <c r="F168" s="49">
        <f>F167+D168-E168</f>
        <v>1</v>
      </c>
      <c r="G168" s="11" t="s">
        <v>119</v>
      </c>
    </row>
    <row r="169" spans="1:7" x14ac:dyDescent="0.2">
      <c r="A169" s="11">
        <v>3</v>
      </c>
      <c r="B169" s="12">
        <v>45852</v>
      </c>
      <c r="C169" s="13" t="s">
        <v>11</v>
      </c>
      <c r="D169" s="49"/>
      <c r="E169" s="49">
        <v>1</v>
      </c>
      <c r="F169" s="49">
        <f t="shared" ref="F169:F170" si="14">F168+D169-E169</f>
        <v>0</v>
      </c>
      <c r="G169" s="11" t="s">
        <v>119</v>
      </c>
    </row>
    <row r="170" spans="1:7" x14ac:dyDescent="0.2">
      <c r="A170" s="11">
        <v>4</v>
      </c>
      <c r="B170" s="12"/>
      <c r="C170" s="13"/>
      <c r="D170" s="49"/>
      <c r="E170" s="49"/>
      <c r="F170" s="49">
        <f t="shared" si="14"/>
        <v>0</v>
      </c>
      <c r="G170" s="11"/>
    </row>
    <row r="171" spans="1:7" x14ac:dyDescent="0.2">
      <c r="A171" s="15"/>
      <c r="B171" s="37"/>
      <c r="C171" s="17"/>
      <c r="D171" s="18"/>
      <c r="E171" s="18"/>
      <c r="F171" s="19"/>
      <c r="G171" s="15"/>
    </row>
  </sheetData>
  <mergeCells count="3">
    <mergeCell ref="A1:G1"/>
    <mergeCell ref="A2:G2"/>
    <mergeCell ref="A3:G3"/>
  </mergeCells>
  <pageMargins left="0.70866141732283472" right="0.70866141732283472" top="0.74803149606299213" bottom="0.74803149606299213" header="0.31496062992125984" footer="0.31496062992125984"/>
  <pageSetup scale="9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RekapPersediaan</vt:lpstr>
      <vt:lpstr>Persediaan Materai</vt:lpstr>
      <vt:lpstr>Persediaan ATK</vt:lpstr>
      <vt:lpstr>Blangko dan Cetakan</vt:lpstr>
      <vt:lpstr>Persediaan Alat Listrik</vt:lpstr>
      <vt:lpstr>Persediaan Kebersihan</vt:lpstr>
      <vt:lpstr>'Blangko dan Cetakan'!Print_Area</vt:lpstr>
      <vt:lpstr>'Persediaan ATK'!Print_Area</vt:lpstr>
      <vt:lpstr>'Persediaan Kebersihan'!Print_Area</vt:lpstr>
      <vt:lpstr>'Persediaan Materai'!Print_Area</vt:lpstr>
      <vt:lpstr>RekapPersediaan!Print_Area</vt:lpstr>
      <vt:lpstr>'Persediaan ATK'!Print_Titles</vt:lpstr>
      <vt:lpstr>'Persediaan Kebersihan'!Print_Titles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sepu10h</cp:lastModifiedBy>
  <cp:lastPrinted>2025-02-03T00:46:39Z</cp:lastPrinted>
  <dcterms:created xsi:type="dcterms:W3CDTF">2019-10-23T00:45:53Z</dcterms:created>
  <dcterms:modified xsi:type="dcterms:W3CDTF">2026-01-21T03:54:05Z</dcterms:modified>
</cp:coreProperties>
</file>